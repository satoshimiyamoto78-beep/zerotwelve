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Смета" sheetId="1" state="visible" r:id="rId3"/>
    <sheet name="Мангальная" sheetId="2" state="visible" r:id="rId4"/>
    <sheet name="Объёмы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<sst xmlns="http://schemas.openxmlformats.org/spreadsheetml/2006/main" count="243" uniqueCount="166">
  <si>
    <t xml:space="preserve">SAMARKAND · крытая терраса R11 — предварительная смета</t>
  </si>
  <si>
    <t xml:space="preserve">Ориентировочные цены по Дананг, 2026 (±20 %). Перед заказом взять 3 коммерческих предложения на каждый раздел. Курс:</t>
  </si>
  <si>
    <t xml:space="preserve">₫ за 1 USD</t>
  </si>
  <si>
    <t xml:space="preserve">№</t>
  </si>
  <si>
    <t xml:space="preserve">Раздел / позиция</t>
  </si>
  <si>
    <t xml:space="preserve">Ед.</t>
  </si>
  <si>
    <t xml:space="preserve">Кол-во</t>
  </si>
  <si>
    <t xml:space="preserve">Цена, ₫</t>
  </si>
  <si>
    <t xml:space="preserve">Сумма, ₫</t>
  </si>
  <si>
    <t xml:space="preserve">Сумма, USD</t>
  </si>
  <si>
    <t xml:space="preserve">Примечание</t>
  </si>
  <si>
    <t xml:space="preserve">Эконом-вариант</t>
  </si>
  <si>
    <t xml:space="preserve">Цена эконом, ₫</t>
  </si>
  <si>
    <t xml:space="preserve">Сумма эконом, ₫</t>
  </si>
  <si>
    <t xml:space="preserve">Эконом, USD</t>
  </si>
  <si>
    <t xml:space="preserve">1. Демонтаж и подготовка</t>
  </si>
  <si>
    <t xml:space="preserve">Демонтаж волны-ламелей под балконом</t>
  </si>
  <si>
    <t xml:space="preserve">компл</t>
  </si>
  <si>
    <t xml:space="preserve">с вывозом</t>
  </si>
  <si>
    <t xml:space="preserve">Демонтаж старой перголы, круглых элементов, козырька E–G</t>
  </si>
  <si>
    <t xml:space="preserve">Снятие старого покрытия, стяжка-выравнивание террасы</t>
  </si>
  <si>
    <t xml:space="preserve">м²</t>
  </si>
  <si>
    <t xml:space="preserve">кроме клумб</t>
  </si>
  <si>
    <t xml:space="preserve">Итого: 1. Демонтаж и подготовка</t>
  </si>
  <si>
    <t xml:space="preserve">2. Навес (кровля)</t>
  </si>
  <si>
    <t xml:space="preserve">Металлоконструкции: балки, прогоны, колонны, опорный швеллер, обвязка двориков</t>
  </si>
  <si>
    <t xml:space="preserve">т</t>
  </si>
  <si>
    <t xml:space="preserve">≈38 000 ₫/кг с изготовлением, оцинковкой, покраской и монтажом</t>
  </si>
  <si>
    <t xml:space="preserve">Без горячей оцинковки, грунт + 2 слоя краски</t>
  </si>
  <si>
    <t xml:space="preserve">Сэндвич-панель PU 50 мм, низ «под дерево», с крепежом</t>
  </si>
  <si>
    <t xml:space="preserve">нижний слой = готовый потолок</t>
  </si>
  <si>
    <t xml:space="preserve">Панель PU 50 мм без «дерева» (белый низ)</t>
  </si>
  <si>
    <t xml:space="preserve">Коробчатый желоб вдоль улицы и вокруг двориков</t>
  </si>
  <si>
    <t xml:space="preserve">м</t>
  </si>
  <si>
    <t xml:space="preserve">оцинк. сталь 0,6 мм</t>
  </si>
  <si>
    <t xml:space="preserve">Водостоки в колоннах + выпуск в дренаж</t>
  </si>
  <si>
    <t xml:space="preserve">шт</t>
  </si>
  <si>
    <t xml:space="preserve">Примыкание к фасаду (фартук, герметик)</t>
  </si>
  <si>
    <t xml:space="preserve">Обшивка колонн деревом (акация, масло)</t>
  </si>
  <si>
    <t xml:space="preserve">Фиброцемент под дерево</t>
  </si>
  <si>
    <t xml:space="preserve">Реечный потолок над баром и коридором (акцент)</t>
  </si>
  <si>
    <t xml:space="preserve">сосна/акация, огнезащита</t>
  </si>
  <si>
    <t xml:space="preserve">Алюминиевые рейки под дерево</t>
  </si>
  <si>
    <t xml:space="preserve">Итого: 2. Навес (кровля)</t>
  </si>
  <si>
    <t xml:space="preserve">3. Полы и платформа</t>
  </si>
  <si>
    <t xml:space="preserve">Керамогранит 600×600 «терракота» с вставками-кабошонами, укладка</t>
  </si>
  <si>
    <t xml:space="preserve">антискольжение R11</t>
  </si>
  <si>
    <t xml:space="preserve">Керамогранит без вставок</t>
  </si>
  <si>
    <t xml:space="preserve">Аллея: цементная плитка-гирих 200×200, укладка</t>
  </si>
  <si>
    <t xml:space="preserve">энкаустик ручной работы, производство во Вьетнаме</t>
  </si>
  <si>
    <t xml:space="preserve">Мангальная: противоскользящий пол + трап</t>
  </si>
  <si>
    <t xml:space="preserve">Айван ±0.000: стальной каркас + ДПК-доска</t>
  </si>
  <si>
    <t xml:space="preserve">на месте засыпанных ступеней</t>
  </si>
  <si>
    <t xml:space="preserve">Бетонная плита + керамогранит</t>
  </si>
  <si>
    <t xml:space="preserve">Перила айвана с решёткой-джали (ЧПУ, металл)</t>
  </si>
  <si>
    <t xml:space="preserve">Простые деревянные перила</t>
  </si>
  <si>
    <t xml:space="preserve">Пандус 1:12 + ступени (облицовка)</t>
  </si>
  <si>
    <t xml:space="preserve">Итого: 3. Полы и платформа</t>
  </si>
  <si>
    <t xml:space="preserve">4. Уличный фасад</t>
  </si>
  <si>
    <t xml:space="preserve">Скамьи из литого бетона, спинка, майоликовый пояс</t>
  </si>
  <si>
    <t xml:space="preserve">Печатная плитка вместо майолики</t>
  </si>
  <si>
    <t xml:space="preserve">Портал-пештак у входа (2 пилона) + ступени с тротуара</t>
  </si>
  <si>
    <t xml:space="preserve">Фонтан-себиль (майоликовая стена, латунный носик, чаша, насос)</t>
  </si>
  <si>
    <t xml:space="preserve">Уличная фото-арка с нишей и подсветкой</t>
  </si>
  <si>
    <t xml:space="preserve">Клумбы: грунт, дренаж, капельный полив, растения</t>
  </si>
  <si>
    <t xml:space="preserve">Гранат (анор) — деревья у входа + кадка у бара</t>
  </si>
  <si>
    <t xml:space="preserve">крупномер 1,8–2,2 м</t>
  </si>
  <si>
    <t xml:space="preserve">Плюмерия (франжипани) в уличной клумбе</t>
  </si>
  <si>
    <t xml:space="preserve">ствол 8–10 см</t>
  </si>
  <si>
    <t xml:space="preserve">Бугенвиллия по спинкам скамей и колоннам</t>
  </si>
  <si>
    <t xml:space="preserve">с опорами-шпалерами</t>
  </si>
  <si>
    <t xml:space="preserve">Пальмы: арека в фото-лаунже + у уличной арки</t>
  </si>
  <si>
    <t xml:space="preserve">в терракотовых кадках</t>
  </si>
  <si>
    <t xml:space="preserve">Банан, стрелиция Николая — зелёная стена за топчанами</t>
  </si>
  <si>
    <t xml:space="preserve">Жасмин самбак, грядка трав у мангала (райхон, мята, базилик)</t>
  </si>
  <si>
    <t xml:space="preserve">Итого: 4. Уличный фасад</t>
  </si>
  <si>
    <t xml:space="preserve">5. Зоны и встроенная мебель</t>
  </si>
  <si>
    <t xml:space="preserve">Бар: стойка 5,7 м (рифлёная плитка, терраццо-столешница), бэк-бар с нишами</t>
  </si>
  <si>
    <t xml:space="preserve">Столешница из кварц-агломерата, бэк-бар без ниш</t>
  </si>
  <si>
    <t xml:space="preserve">Тематические закрытые кабинки (9 эпох): скамьи, стол, перегородки h 2,2 м, арка-портал со шторами, панно темы, потолок-шапка, свет, вентилятор</t>
  </si>
  <si>
    <t xml:space="preserve">средняя; мурал и резьба дороже, текстиль дешевле</t>
  </si>
  <si>
    <t xml:space="preserve">Панно — печать на ткани, резьба ЧПУ из МДФ</t>
  </si>
  <si>
    <t xml:space="preserve">Айван: седир-кабинки на 6 (2 скамьи 1,85 м, стол 1600×700, резная перегородка h 1200, фонарь)</t>
  </si>
  <si>
    <t xml:space="preserve">Перегородка — фанера ЧПУ под покраску</t>
  </si>
  <si>
    <t xml:space="preserve">Топчан 2,0 × 2,2 м (резное дерево, курпачи, низкий стол)</t>
  </si>
  <si>
    <t xml:space="preserve">Шатры-маджлисы 3,0 × 2,75 м (каркас, ткань с огнезащитой, П-диван, ковёр, 2 стола)</t>
  </si>
  <si>
    <t xml:space="preserve">Готовый арабский шатёр + стандартный диван</t>
  </si>
  <si>
    <t xml:space="preserve">Арык 0,3 × 5,75 м по оси хауза (майоликовые борта, рециркуляция от хауза) + 2 мостика из камня</t>
  </si>
  <si>
    <t xml:space="preserve">Витрина-музей у северного входа (стекло, подсветка, латунь)</t>
  </si>
  <si>
    <t xml:space="preserve">«Хивинские ворота»: резные стойки из дерева, балка, колокольчики, 2 фонаря</t>
  </si>
  <si>
    <t xml:space="preserve">Ворота без резьбы, с накладным орнаментом</t>
  </si>
  <si>
    <t xml:space="preserve">Фото-лаунж «Очаг» (портал с драпировкой, ковры, LED-огонь, хумы, 3 столика, 12 пуфов)</t>
  </si>
  <si>
    <t xml:space="preserve">Коридор-драпировка (бархат с огнезащитой, каркас, дорожка, хумы, фонари)</t>
  </si>
  <si>
    <t xml:space="preserve">Фонтан-хауз Ø1,2 м: борт-скамья из майолики, мозаика-звезда Ø2,6 м в полу, насос, лотосы, 8 светильников</t>
  </si>
  <si>
    <t xml:space="preserve">Без мозаики в полу, борт из бетона с плиткой</t>
  </si>
  <si>
    <t xml:space="preserve">Скамьи вокруг чинаров (юг — кольцо, север — полукольцо)</t>
  </si>
  <si>
    <t xml:space="preserve">тик/акация на бетонном основании</t>
  </si>
  <si>
    <t xml:space="preserve">Станция персонала (стеллажи, стойка, мойка) + стойка хостес</t>
  </si>
  <si>
    <t xml:space="preserve">Детский уголок 17 м²: резиновое покрытие, ограждение h 900 с калиткой, игровые элементы</t>
  </si>
  <si>
    <t xml:space="preserve">Служебный проход 1,45 м вдоль витража зала: подсветка, указатели, отбойник</t>
  </si>
  <si>
    <t xml:space="preserve">Итого: 5. Зоны и встроенная мебель</t>
  </si>
  <si>
    <t xml:space="preserve">6. Отдельная мебель</t>
  </si>
  <si>
    <t xml:space="preserve">Столы-модули 700 × 800 (массив акации, стальная база, стяжки)</t>
  </si>
  <si>
    <t xml:space="preserve">для улицы, масло-воск</t>
  </si>
  <si>
    <t xml:space="preserve">Столешница HPL под дерево</t>
  </si>
  <si>
    <t xml:space="preserve">Стулья для улицы (ротанг / дерево)</t>
  </si>
  <si>
    <t xml:space="preserve">Синтетический ротанг (массовая серия)</t>
  </si>
  <si>
    <t xml:space="preserve">Барные стулья</t>
  </si>
  <si>
    <t xml:space="preserve">Итого: 6. Отдельная мебель</t>
  </si>
  <si>
    <t xml:space="preserve">8. Свет, электрика, вентиляция</t>
  </si>
  <si>
    <t xml:space="preserve">Электрика, щит, розетки, кабель в лотках по балкам</t>
  </si>
  <si>
    <t xml:space="preserve">Светильники: фонари, подвесы, ленты в нишах, подсветка деревьев</t>
  </si>
  <si>
    <t xml:space="preserve">тёплые 2200–2700 K, IP65 у края</t>
  </si>
  <si>
    <t xml:space="preserve">Меньше подвесов, больше лент</t>
  </si>
  <si>
    <t xml:space="preserve">Потолочные вентиляторы для улицы</t>
  </si>
  <si>
    <t xml:space="preserve">влажность/жара Дананга</t>
  </si>
  <si>
    <t xml:space="preserve">Звук (фоновая музыка, 8 колонок)</t>
  </si>
  <si>
    <t xml:space="preserve">Водопровод и канализация (бар, мангал, фонтаны, мойки)</t>
  </si>
  <si>
    <t xml:space="preserve">Итого: 8. Свет, электрика, вентиляция</t>
  </si>
  <si>
    <t xml:space="preserve">7. Мангальная (см. лист «Мангальная»)</t>
  </si>
  <si>
    <t xml:space="preserve">Оборудование и отделка мангальной</t>
  </si>
  <si>
    <t xml:space="preserve">Итого: 7. Мангальная (см. лист «Мангальная»)</t>
  </si>
  <si>
    <t xml:space="preserve">ИТОГО строительство и оснащение</t>
  </si>
  <si>
    <t xml:space="preserve">Непредвиденные расходы 10 %</t>
  </si>
  <si>
    <t xml:space="preserve">Проект конструкций навеса + согласования</t>
  </si>
  <si>
    <t xml:space="preserve">ВСЕГО</t>
  </si>
  <si>
    <t xml:space="preserve">Экономия при всех эконом-вариантах, ₫</t>
  </si>
  <si>
    <t xml:space="preserve">Стоимость 1 м² террасы (446,5 м²), ₫</t>
  </si>
  <si>
    <t xml:space="preserve">Стоимость 1 посадочного места (175 мест), ₫</t>
  </si>
  <si>
    <t xml:space="preserve">· Количества посчитаны из геометрии плана R11 (DXF) и кровли; металл — по весу балок, прогонов, колонн.</t>
  </si>
  <si>
    <t xml:space="preserve">· Не входят: кухонное оборудование основной кухни, посуда, униформа, вывески, IT/касса, лицензии.</t>
  </si>
  <si>
    <t xml:space="preserve">· Самые большие статьи: навес, мебель, мангальная, бар. Экономить в первую очередь: оцинковка, «дерево» на панели, рейки, ротанг, HPL-столешницы.</t>
  </si>
  <si>
    <t xml:space="preserve">· Не экономить: вытяжка мангальной, анкеровка навеса на тайфун, гидроизоляция примыканий, антискользящий пол.</t>
  </si>
  <si>
    <t xml:space="preserve">Мангальная 4,2 × 4,8 м — оборудование и отделка</t>
  </si>
  <si>
    <t xml:space="preserve">Позиция</t>
  </si>
  <si>
    <t xml:space="preserve">Тандыр глиняный Ø900 в кирпичном коробе</t>
  </si>
  <si>
    <t xml:space="preserve">местный мастер или Узбекистан</t>
  </si>
  <si>
    <t xml:space="preserve">Мангал из нерж. стали 2,0 м, решётка, шампурница</t>
  </si>
  <si>
    <t xml:space="preserve">Казан Ø800 чугун + газовая горелка высокого давления</t>
  </si>
  <si>
    <t xml:space="preserve">Вытяжной зонт из нерж. стали 4,7 м + вентилятор + труба выше кровли</t>
  </si>
  <si>
    <t xml:space="preserve">обязательно (ветер с ЮВ)</t>
  </si>
  <si>
    <t xml:space="preserve">Холодильный стол 2-дверный 1,8 м</t>
  </si>
  <si>
    <t xml:space="preserve">Мойка 2-секционная + раковина для рук</t>
  </si>
  <si>
    <t xml:space="preserve">Раздача 3,15 м с подогревом, ИК-лампами и стеклом</t>
  </si>
  <si>
    <t xml:space="preserve">Западная стенка-дровница 3,4 м (каркас, подсветка) + служебная дверь 900</t>
  </si>
  <si>
    <t xml:space="preserve">дрова — витрина в зал</t>
  </si>
  <si>
    <t xml:space="preserve">Заготовочный стол из нержавейки + стеллажи</t>
  </si>
  <si>
    <t xml:space="preserve">Огнестойкая кирпичная стена, облицовка, отделка</t>
  </si>
  <si>
    <t xml:space="preserve">Газ: разводка, отсекатель, датчик утечки</t>
  </si>
  <si>
    <t xml:space="preserve">Трап, жироуловитель</t>
  </si>
  <si>
    <t xml:space="preserve">Склад угля и тары (стеллажи, металлические баки для золы)</t>
  </si>
  <si>
    <t xml:space="preserve">Огнетушители, кошма, аптечка</t>
  </si>
  <si>
    <t xml:space="preserve">Инвентарь: шампуры 200 шт, противни, решётки</t>
  </si>
  <si>
    <t xml:space="preserve">Итого мангальная</t>
  </si>
  <si>
    <t xml:space="preserve">Площадь зоны (без подъезда)</t>
  </si>
  <si>
    <t xml:space="preserve">Площадь кровли</t>
  </si>
  <si>
    <t xml:space="preserve">Открытые дворики</t>
  </si>
  <si>
    <t xml:space="preserve">Металл навеса</t>
  </si>
  <si>
    <t xml:space="preserve">Пол керамогранит</t>
  </si>
  <si>
    <t xml:space="preserve">Айван</t>
  </si>
  <si>
    <t xml:space="preserve">Аллея</t>
  </si>
  <si>
    <t xml:space="preserve">Мангальная</t>
  </si>
  <si>
    <t xml:space="preserve">Столы-модули</t>
  </si>
  <si>
    <t xml:space="preserve">Стулья</t>
  </si>
  <si>
    <t xml:space="preserve">Посадочных мест</t>
  </si>
  <si>
    <t xml:space="preserve">Уличные скамьи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</si>
</sst>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"/>
    <numFmt numFmtId="166" formatCode="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3B2A1E"/>
      <name val="Cambria"/>
      <family val="0"/>
      <charset val="1"/>
    </font>
    <font>
      <i val="true"/>
      <sz val="11"/>
      <color rgb="FF6B5A48"/>
      <name val="Cambria"/>
      <family val="0"/>
      <charset val="1"/>
    </font>
    <font>
      <b val="true"/>
      <sz val="11"/>
      <color rgb="FF8E1F24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2"/>
      <color rgb="FF8E1F24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1"/>
      <color rgb="FF1D6F77"/>
      <name val="Cambria"/>
      <family val="0"/>
      <charset val="1"/>
    </font>
    <font>
      <b val="true"/>
      <sz val="13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F8A"/>
        <bgColor rgb="FF003366"/>
      </patternFill>
    </fill>
    <fill>
      <patternFill patternType="solid">
        <fgColor rgb="FFEFE1C6"/>
        <bgColor rgb="FFFFFFCC"/>
      </patternFill>
    </fill>
    <fill>
      <patternFill patternType="solid">
        <fgColor rgb="FF8E1F24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9B99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D6F77"/>
      <rgbColor rgb="FFC9B99A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FE1C6"/>
      <rgbColor rgb="FF3366FF"/>
      <rgbColor rgb="FF33CCCC"/>
      <rgbColor rgb="FF99CC00"/>
      <rgbColor rgb="FFFFCC00"/>
      <rgbColor rgb="FFFF9900"/>
      <rgbColor rgb="FFFF6600"/>
      <rgbColor rgb="FF6B5A48"/>
      <rgbColor rgb="FF969696"/>
      <rgbColor rgb="FF003366"/>
      <rgbColor rgb="FF339966"/>
      <rgbColor rgb="FF003300"/>
      <rgbColor rgb="FF333300"/>
      <rgbColor rgb="FF8E1F24"/>
      <rgbColor rgb="FF993366"/>
      <rgbColor rgb="FF1F3F8A"/>
      <rgbColor rgb="FF3B2A1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2"/>
    <col collapsed="false" customWidth="true" hidden="false" outlineLevel="0" max="3" min="3" style="0" width="7"/>
    <col collapsed="false" customWidth="true" hidden="false" outlineLevel="0" max="4" min="4" style="0" width="9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34"/>
    <col collapsed="false" customWidth="true" hidden="false" outlineLevel="0" max="9" min="9" style="0" width="38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2" min="12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H2" s="3" t="n">
        <v>26000</v>
      </c>
      <c r="I2" s="4" t="s">
        <v>2</v>
      </c>
    </row>
    <row r="4" customFormat="false" ht="28.35" hidden="false" customHeight="false" outlineLevel="0" collapsed="false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</row>
    <row r="5" customFormat="false" ht="15" hidden="false" customHeight="false" outlineLevel="0" collapsed="false">
      <c r="B5" s="6" t="s">
        <v>15</v>
      </c>
      <c r="D5" s="7"/>
      <c r="E5" s="8"/>
      <c r="F5" s="8"/>
      <c r="G5" s="8"/>
      <c r="H5" s="9"/>
      <c r="I5" s="9"/>
      <c r="J5" s="8"/>
      <c r="K5" s="8"/>
      <c r="L5" s="8"/>
    </row>
    <row r="6" customFormat="false" ht="15" hidden="false" customHeight="false" outlineLevel="0" collapsed="false">
      <c r="A6" s="10" t="n">
        <v>1</v>
      </c>
      <c r="B6" s="11" t="s">
        <v>16</v>
      </c>
      <c r="C6" s="10" t="s">
        <v>17</v>
      </c>
      <c r="D6" s="12" t="n">
        <v>1</v>
      </c>
      <c r="E6" s="13" t="n">
        <v>25000000</v>
      </c>
      <c r="F6" s="13" t="n">
        <f aca="false">D6*E6</f>
        <v>25000000</v>
      </c>
      <c r="G6" s="13" t="n">
        <f aca="false">F6/$H$2</f>
        <v>961.538461538462</v>
      </c>
      <c r="H6" s="11" t="s">
        <v>18</v>
      </c>
      <c r="I6" s="11"/>
      <c r="J6" s="13"/>
      <c r="K6" s="13" t="n">
        <f aca="false">F6</f>
        <v>25000000</v>
      </c>
      <c r="L6" s="8"/>
    </row>
    <row r="7" customFormat="false" ht="15" hidden="false" customHeight="false" outlineLevel="0" collapsed="false">
      <c r="A7" s="10" t="n">
        <v>2</v>
      </c>
      <c r="B7" s="11" t="s">
        <v>19</v>
      </c>
      <c r="C7" s="10" t="s">
        <v>17</v>
      </c>
      <c r="D7" s="12" t="n">
        <v>1</v>
      </c>
      <c r="E7" s="13" t="n">
        <v>30000000</v>
      </c>
      <c r="F7" s="13" t="n">
        <f aca="false">D7*E7</f>
        <v>30000000</v>
      </c>
      <c r="G7" s="13" t="n">
        <f aca="false">F7/$H$2</f>
        <v>1153.84615384615</v>
      </c>
      <c r="H7" s="11"/>
      <c r="I7" s="11"/>
      <c r="J7" s="13"/>
      <c r="K7" s="13" t="n">
        <f aca="false">F7</f>
        <v>30000000</v>
      </c>
      <c r="L7" s="8"/>
    </row>
    <row r="8" customFormat="false" ht="15" hidden="false" customHeight="false" outlineLevel="0" collapsed="false">
      <c r="A8" s="10" t="n">
        <v>3</v>
      </c>
      <c r="B8" s="11" t="s">
        <v>20</v>
      </c>
      <c r="C8" s="10" t="s">
        <v>21</v>
      </c>
      <c r="D8" s="12" t="n">
        <v>400.4</v>
      </c>
      <c r="E8" s="13" t="n">
        <v>180000</v>
      </c>
      <c r="F8" s="13" t="n">
        <f aca="false">D8*E8</f>
        <v>72072000</v>
      </c>
      <c r="G8" s="13" t="n">
        <f aca="false">F8/$H$2</f>
        <v>2772</v>
      </c>
      <c r="H8" s="11" t="s">
        <v>22</v>
      </c>
      <c r="I8" s="11"/>
      <c r="J8" s="13"/>
      <c r="K8" s="13" t="n">
        <f aca="false">F8</f>
        <v>72072000</v>
      </c>
      <c r="L8" s="8"/>
    </row>
    <row r="9" customFormat="false" ht="15" hidden="false" customHeight="false" outlineLevel="0" collapsed="false">
      <c r="A9" s="14"/>
      <c r="B9" s="15" t="s">
        <v>23</v>
      </c>
      <c r="C9" s="14"/>
      <c r="D9" s="16"/>
      <c r="E9" s="17"/>
      <c r="F9" s="18" t="n">
        <f aca="false">SUM(F6:F8)</f>
        <v>127072000</v>
      </c>
      <c r="G9" s="18" t="n">
        <f aca="false">F9/$H$2</f>
        <v>4887.38461538462</v>
      </c>
      <c r="H9" s="19"/>
      <c r="I9" s="19"/>
      <c r="J9" s="17"/>
      <c r="K9" s="18" t="n">
        <f aca="false">SUM(K6:K8)</f>
        <v>127072000</v>
      </c>
      <c r="L9" s="8"/>
    </row>
    <row r="10" customFormat="false" ht="15" hidden="false" customHeight="false" outlineLevel="0" collapsed="false">
      <c r="B10" s="9"/>
      <c r="D10" s="7"/>
      <c r="E10" s="8"/>
      <c r="F10" s="8"/>
      <c r="G10" s="8"/>
      <c r="H10" s="9"/>
      <c r="I10" s="9"/>
      <c r="J10" s="8"/>
      <c r="K10" s="8"/>
      <c r="L10" s="8"/>
    </row>
    <row r="11" customFormat="false" ht="15" hidden="false" customHeight="false" outlineLevel="0" collapsed="false">
      <c r="B11" s="6" t="s">
        <v>24</v>
      </c>
      <c r="D11" s="7"/>
      <c r="E11" s="8"/>
      <c r="F11" s="8"/>
      <c r="G11" s="8"/>
      <c r="H11" s="9"/>
      <c r="I11" s="9"/>
      <c r="J11" s="8"/>
      <c r="K11" s="8"/>
      <c r="L11" s="8"/>
    </row>
    <row r="12" customFormat="false" ht="28.35" hidden="false" customHeight="false" outlineLevel="0" collapsed="false">
      <c r="A12" s="10" t="n">
        <v>4</v>
      </c>
      <c r="B12" s="11" t="s">
        <v>25</v>
      </c>
      <c r="C12" s="10" t="s">
        <v>26</v>
      </c>
      <c r="D12" s="12" t="n">
        <v>9.8</v>
      </c>
      <c r="E12" s="13" t="n">
        <v>38000000</v>
      </c>
      <c r="F12" s="13" t="n">
        <f aca="false">D12*E12</f>
        <v>372400000</v>
      </c>
      <c r="G12" s="13" t="n">
        <f aca="false">F12/$H$2</f>
        <v>14323.0769230769</v>
      </c>
      <c r="H12" s="11" t="s">
        <v>27</v>
      </c>
      <c r="I12" s="11" t="s">
        <v>28</v>
      </c>
      <c r="J12" s="13" t="n">
        <v>32000000</v>
      </c>
      <c r="K12" s="13" t="n">
        <f aca="false">D12*J12</f>
        <v>313600000</v>
      </c>
      <c r="L12" s="8"/>
    </row>
    <row r="13" customFormat="false" ht="28.35" hidden="false" customHeight="false" outlineLevel="0" collapsed="false">
      <c r="A13" s="10" t="n">
        <v>5</v>
      </c>
      <c r="B13" s="11" t="s">
        <v>29</v>
      </c>
      <c r="C13" s="10" t="s">
        <v>21</v>
      </c>
      <c r="D13" s="12" t="n">
        <v>440.5</v>
      </c>
      <c r="E13" s="13" t="n">
        <v>420000</v>
      </c>
      <c r="F13" s="13" t="n">
        <f aca="false">D13*E13</f>
        <v>185010000</v>
      </c>
      <c r="G13" s="13" t="n">
        <f aca="false">F13/$H$2</f>
        <v>7115.76923076923</v>
      </c>
      <c r="H13" s="11" t="s">
        <v>30</v>
      </c>
      <c r="I13" s="11" t="s">
        <v>31</v>
      </c>
      <c r="J13" s="13" t="n">
        <v>340000</v>
      </c>
      <c r="K13" s="13" t="n">
        <f aca="false">D13*J13</f>
        <v>149770000</v>
      </c>
      <c r="L13" s="8"/>
    </row>
    <row r="14" customFormat="false" ht="15" hidden="false" customHeight="false" outlineLevel="0" collapsed="false">
      <c r="A14" s="10" t="n">
        <v>6</v>
      </c>
      <c r="B14" s="11" t="s">
        <v>32</v>
      </c>
      <c r="C14" s="10" t="s">
        <v>33</v>
      </c>
      <c r="D14" s="12" t="n">
        <v>66.2</v>
      </c>
      <c r="E14" s="13" t="n">
        <v>450000</v>
      </c>
      <c r="F14" s="13" t="n">
        <f aca="false">D14*E14</f>
        <v>29790000</v>
      </c>
      <c r="G14" s="13" t="n">
        <f aca="false">F14/$H$2</f>
        <v>1145.76923076923</v>
      </c>
      <c r="H14" s="11" t="s">
        <v>34</v>
      </c>
      <c r="I14" s="11"/>
      <c r="J14" s="13"/>
      <c r="K14" s="13" t="n">
        <f aca="false">F14</f>
        <v>29790000</v>
      </c>
      <c r="L14" s="8"/>
    </row>
    <row r="15" customFormat="false" ht="15" hidden="false" customHeight="false" outlineLevel="0" collapsed="false">
      <c r="A15" s="10" t="n">
        <v>7</v>
      </c>
      <c r="B15" s="11" t="s">
        <v>35</v>
      </c>
      <c r="C15" s="10" t="s">
        <v>36</v>
      </c>
      <c r="D15" s="12" t="n">
        <v>13</v>
      </c>
      <c r="E15" s="13" t="n">
        <v>1800000</v>
      </c>
      <c r="F15" s="13" t="n">
        <f aca="false">D15*E15</f>
        <v>23400000</v>
      </c>
      <c r="G15" s="13" t="n">
        <f aca="false">F15/$H$2</f>
        <v>900</v>
      </c>
      <c r="H15" s="11"/>
      <c r="I15" s="11"/>
      <c r="J15" s="13"/>
      <c r="K15" s="13" t="n">
        <f aca="false">F15</f>
        <v>23400000</v>
      </c>
      <c r="L15" s="8"/>
    </row>
    <row r="16" customFormat="false" ht="15" hidden="false" customHeight="false" outlineLevel="0" collapsed="false">
      <c r="A16" s="10" t="n">
        <v>8</v>
      </c>
      <c r="B16" s="11" t="s">
        <v>37</v>
      </c>
      <c r="C16" s="10" t="s">
        <v>33</v>
      </c>
      <c r="D16" s="12" t="n">
        <v>37.1</v>
      </c>
      <c r="E16" s="13" t="n">
        <v>280000</v>
      </c>
      <c r="F16" s="13" t="n">
        <f aca="false">D16*E16</f>
        <v>10388000</v>
      </c>
      <c r="G16" s="13" t="n">
        <f aca="false">F16/$H$2</f>
        <v>399.538461538462</v>
      </c>
      <c r="H16" s="11"/>
      <c r="I16" s="11"/>
      <c r="J16" s="13"/>
      <c r="K16" s="13" t="n">
        <f aca="false">F16</f>
        <v>10388000</v>
      </c>
      <c r="L16" s="8"/>
    </row>
    <row r="17" customFormat="false" ht="15" hidden="false" customHeight="false" outlineLevel="0" collapsed="false">
      <c r="A17" s="10" t="n">
        <v>9</v>
      </c>
      <c r="B17" s="11" t="s">
        <v>38</v>
      </c>
      <c r="C17" s="10" t="s">
        <v>36</v>
      </c>
      <c r="D17" s="12" t="n">
        <v>11</v>
      </c>
      <c r="E17" s="13" t="n">
        <v>2800000</v>
      </c>
      <c r="F17" s="13" t="n">
        <f aca="false">D17*E17</f>
        <v>30800000</v>
      </c>
      <c r="G17" s="13" t="n">
        <f aca="false">F17/$H$2</f>
        <v>1184.61538461538</v>
      </c>
      <c r="H17" s="11"/>
      <c r="I17" s="11" t="s">
        <v>39</v>
      </c>
      <c r="J17" s="13" t="n">
        <v>1600000</v>
      </c>
      <c r="K17" s="13" t="n">
        <f aca="false">D17*J17</f>
        <v>17600000</v>
      </c>
      <c r="L17" s="8"/>
    </row>
    <row r="18" customFormat="false" ht="15" hidden="false" customHeight="false" outlineLevel="0" collapsed="false">
      <c r="A18" s="10" t="n">
        <v>10</v>
      </c>
      <c r="B18" s="11" t="s">
        <v>40</v>
      </c>
      <c r="C18" s="10" t="s">
        <v>21</v>
      </c>
      <c r="D18" s="12" t="n">
        <v>40</v>
      </c>
      <c r="E18" s="13" t="n">
        <v>950000</v>
      </c>
      <c r="F18" s="13" t="n">
        <f aca="false">D18*E18</f>
        <v>38000000</v>
      </c>
      <c r="G18" s="13" t="n">
        <f aca="false">F18/$H$2</f>
        <v>1461.53846153846</v>
      </c>
      <c r="H18" s="11" t="s">
        <v>41</v>
      </c>
      <c r="I18" s="11" t="s">
        <v>42</v>
      </c>
      <c r="J18" s="13" t="n">
        <v>750000</v>
      </c>
      <c r="K18" s="13" t="n">
        <f aca="false">D18*J18</f>
        <v>30000000</v>
      </c>
      <c r="L18" s="8"/>
    </row>
    <row r="19" customFormat="false" ht="15" hidden="false" customHeight="false" outlineLevel="0" collapsed="false">
      <c r="A19" s="14"/>
      <c r="B19" s="15" t="s">
        <v>43</v>
      </c>
      <c r="C19" s="14"/>
      <c r="D19" s="16"/>
      <c r="E19" s="17"/>
      <c r="F19" s="18" t="n">
        <f aca="false">SUM(F12:F18)</f>
        <v>689788000</v>
      </c>
      <c r="G19" s="18" t="n">
        <f aca="false">F19/$H$2</f>
        <v>26530.3076923077</v>
      </c>
      <c r="H19" s="19"/>
      <c r="I19" s="19"/>
      <c r="J19" s="17"/>
      <c r="K19" s="18" t="n">
        <f aca="false">SUM(K12:K18)</f>
        <v>574548000</v>
      </c>
      <c r="L19" s="8"/>
    </row>
    <row r="20" customFormat="false" ht="15" hidden="false" customHeight="false" outlineLevel="0" collapsed="false">
      <c r="B20" s="9"/>
      <c r="D20" s="7"/>
      <c r="E20" s="8"/>
      <c r="F20" s="8"/>
      <c r="G20" s="8"/>
      <c r="H20" s="9"/>
      <c r="I20" s="9"/>
      <c r="J20" s="8"/>
      <c r="K20" s="8"/>
      <c r="L20" s="8"/>
    </row>
    <row r="21" customFormat="false" ht="15" hidden="false" customHeight="false" outlineLevel="0" collapsed="false">
      <c r="B21" s="6" t="s">
        <v>44</v>
      </c>
      <c r="D21" s="7"/>
      <c r="E21" s="8"/>
      <c r="F21" s="8"/>
      <c r="G21" s="8"/>
      <c r="H21" s="9"/>
      <c r="I21" s="9"/>
      <c r="J21" s="8"/>
      <c r="K21" s="8"/>
      <c r="L21" s="8"/>
    </row>
    <row r="22" customFormat="false" ht="28.35" hidden="false" customHeight="false" outlineLevel="0" collapsed="false">
      <c r="A22" s="10" t="n">
        <v>11</v>
      </c>
      <c r="B22" s="11" t="s">
        <v>45</v>
      </c>
      <c r="C22" s="10" t="s">
        <v>21</v>
      </c>
      <c r="D22" s="12" t="n">
        <v>299.1</v>
      </c>
      <c r="E22" s="13" t="n">
        <v>620000</v>
      </c>
      <c r="F22" s="13" t="n">
        <f aca="false">D22*E22</f>
        <v>185442000</v>
      </c>
      <c r="G22" s="13" t="n">
        <f aca="false">F22/$H$2</f>
        <v>7132.38461538462</v>
      </c>
      <c r="H22" s="11" t="s">
        <v>46</v>
      </c>
      <c r="I22" s="11" t="s">
        <v>47</v>
      </c>
      <c r="J22" s="13" t="n">
        <v>480000</v>
      </c>
      <c r="K22" s="13" t="n">
        <f aca="false">D22*J22</f>
        <v>143568000</v>
      </c>
      <c r="L22" s="8"/>
    </row>
    <row r="23" customFormat="false" ht="28.35" hidden="false" customHeight="false" outlineLevel="0" collapsed="false">
      <c r="A23" s="10" t="n">
        <v>12</v>
      </c>
      <c r="B23" s="11" t="s">
        <v>48</v>
      </c>
      <c r="C23" s="10" t="s">
        <v>21</v>
      </c>
      <c r="D23" s="12" t="n">
        <v>15.8</v>
      </c>
      <c r="E23" s="13" t="n">
        <v>1450000</v>
      </c>
      <c r="F23" s="13" t="n">
        <f aca="false">D23*E23</f>
        <v>22910000</v>
      </c>
      <c r="G23" s="13" t="n">
        <f aca="false">F23/$H$2</f>
        <v>881.153846153846</v>
      </c>
      <c r="H23" s="11" t="s">
        <v>49</v>
      </c>
      <c r="I23" s="11"/>
      <c r="J23" s="13"/>
      <c r="K23" s="13" t="n">
        <f aca="false">F23</f>
        <v>22910000</v>
      </c>
      <c r="L23" s="8"/>
    </row>
    <row r="24" customFormat="false" ht="15" hidden="false" customHeight="false" outlineLevel="0" collapsed="false">
      <c r="A24" s="10" t="n">
        <v>13</v>
      </c>
      <c r="B24" s="11" t="s">
        <v>50</v>
      </c>
      <c r="C24" s="10" t="s">
        <v>21</v>
      </c>
      <c r="D24" s="12" t="n">
        <v>19.1</v>
      </c>
      <c r="E24" s="13" t="n">
        <v>750000</v>
      </c>
      <c r="F24" s="13" t="n">
        <f aca="false">D24*E24</f>
        <v>14325000</v>
      </c>
      <c r="G24" s="13" t="n">
        <f aca="false">F24/$H$2</f>
        <v>550.961538461539</v>
      </c>
      <c r="H24" s="11"/>
      <c r="I24" s="11"/>
      <c r="J24" s="13"/>
      <c r="K24" s="13" t="n">
        <f aca="false">F24</f>
        <v>14325000</v>
      </c>
      <c r="L24" s="8"/>
    </row>
    <row r="25" customFormat="false" ht="15" hidden="false" customHeight="false" outlineLevel="0" collapsed="false">
      <c r="A25" s="10" t="n">
        <v>14</v>
      </c>
      <c r="B25" s="11" t="s">
        <v>51</v>
      </c>
      <c r="C25" s="10" t="s">
        <v>21</v>
      </c>
      <c r="D25" s="12" t="n">
        <v>49.3</v>
      </c>
      <c r="E25" s="13" t="n">
        <v>2100000</v>
      </c>
      <c r="F25" s="13" t="n">
        <f aca="false">D25*E25</f>
        <v>103530000</v>
      </c>
      <c r="G25" s="13" t="n">
        <f aca="false">F25/$H$2</f>
        <v>3981.92307692308</v>
      </c>
      <c r="H25" s="11" t="s">
        <v>52</v>
      </c>
      <c r="I25" s="11" t="s">
        <v>53</v>
      </c>
      <c r="J25" s="13" t="n">
        <v>1500000</v>
      </c>
      <c r="K25" s="13" t="n">
        <f aca="false">D25*J25</f>
        <v>73950000</v>
      </c>
      <c r="L25" s="8"/>
    </row>
    <row r="26" customFormat="false" ht="15" hidden="false" customHeight="false" outlineLevel="0" collapsed="false">
      <c r="A26" s="10" t="n">
        <v>15</v>
      </c>
      <c r="B26" s="11" t="s">
        <v>54</v>
      </c>
      <c r="C26" s="10" t="s">
        <v>33</v>
      </c>
      <c r="D26" s="12" t="n">
        <v>22</v>
      </c>
      <c r="E26" s="13" t="n">
        <v>3200000</v>
      </c>
      <c r="F26" s="13" t="n">
        <f aca="false">D26*E26</f>
        <v>70400000</v>
      </c>
      <c r="G26" s="13" t="n">
        <f aca="false">F26/$H$2</f>
        <v>2707.69230769231</v>
      </c>
      <c r="H26" s="11"/>
      <c r="I26" s="11" t="s">
        <v>55</v>
      </c>
      <c r="J26" s="13" t="n">
        <v>1800000</v>
      </c>
      <c r="K26" s="13" t="n">
        <f aca="false">D26*J26</f>
        <v>39600000</v>
      </c>
      <c r="L26" s="8"/>
    </row>
    <row r="27" customFormat="false" ht="15" hidden="false" customHeight="false" outlineLevel="0" collapsed="false">
      <c r="A27" s="10" t="n">
        <v>16</v>
      </c>
      <c r="B27" s="11" t="s">
        <v>56</v>
      </c>
      <c r="C27" s="10" t="s">
        <v>17</v>
      </c>
      <c r="D27" s="12" t="n">
        <v>1</v>
      </c>
      <c r="E27" s="13" t="n">
        <v>45000000</v>
      </c>
      <c r="F27" s="13" t="n">
        <f aca="false">D27*E27</f>
        <v>45000000</v>
      </c>
      <c r="G27" s="13" t="n">
        <f aca="false">F27/$H$2</f>
        <v>1730.76923076923</v>
      </c>
      <c r="H27" s="11"/>
      <c r="I27" s="11"/>
      <c r="J27" s="13"/>
      <c r="K27" s="13" t="n">
        <f aca="false">F27</f>
        <v>45000000</v>
      </c>
      <c r="L27" s="8"/>
    </row>
    <row r="28" customFormat="false" ht="15" hidden="false" customHeight="false" outlineLevel="0" collapsed="false">
      <c r="A28" s="14"/>
      <c r="B28" s="15" t="s">
        <v>57</v>
      </c>
      <c r="C28" s="14"/>
      <c r="D28" s="16"/>
      <c r="E28" s="17"/>
      <c r="F28" s="18" t="n">
        <f aca="false">SUM(F22:F27)</f>
        <v>441607000</v>
      </c>
      <c r="G28" s="18" t="n">
        <f aca="false">F28/$H$2</f>
        <v>16984.8846153846</v>
      </c>
      <c r="H28" s="19"/>
      <c r="I28" s="19"/>
      <c r="J28" s="17"/>
      <c r="K28" s="18" t="n">
        <f aca="false">SUM(K22:K27)</f>
        <v>339353000</v>
      </c>
      <c r="L28" s="8"/>
    </row>
    <row r="29" customFormat="false" ht="15" hidden="false" customHeight="false" outlineLevel="0" collapsed="false">
      <c r="B29" s="9"/>
      <c r="D29" s="7"/>
      <c r="E29" s="8"/>
      <c r="F29" s="8"/>
      <c r="G29" s="8"/>
      <c r="H29" s="9"/>
      <c r="I29" s="9"/>
      <c r="J29" s="8"/>
      <c r="K29" s="8"/>
      <c r="L29" s="8"/>
    </row>
    <row r="30" customFormat="false" ht="15" hidden="false" customHeight="false" outlineLevel="0" collapsed="false">
      <c r="B30" s="6" t="s">
        <v>58</v>
      </c>
      <c r="D30" s="7"/>
      <c r="E30" s="8"/>
      <c r="F30" s="8"/>
      <c r="G30" s="8"/>
      <c r="H30" s="9"/>
      <c r="I30" s="9"/>
      <c r="J30" s="8"/>
      <c r="K30" s="8"/>
      <c r="L30" s="8"/>
    </row>
    <row r="31" customFormat="false" ht="15" hidden="false" customHeight="false" outlineLevel="0" collapsed="false">
      <c r="A31" s="10" t="n">
        <v>17</v>
      </c>
      <c r="B31" s="11" t="s">
        <v>59</v>
      </c>
      <c r="C31" s="10" t="s">
        <v>33</v>
      </c>
      <c r="D31" s="12" t="n">
        <v>21.2</v>
      </c>
      <c r="E31" s="13" t="n">
        <v>3600000</v>
      </c>
      <c r="F31" s="13" t="n">
        <f aca="false">D31*E31</f>
        <v>76320000</v>
      </c>
      <c r="G31" s="13" t="n">
        <f aca="false">F31/$H$2</f>
        <v>2935.38461538462</v>
      </c>
      <c r="H31" s="11"/>
      <c r="I31" s="11" t="s">
        <v>60</v>
      </c>
      <c r="J31" s="13" t="n">
        <v>3000000</v>
      </c>
      <c r="K31" s="13" t="n">
        <f aca="false">D31*J31</f>
        <v>63600000</v>
      </c>
      <c r="L31" s="8"/>
    </row>
    <row r="32" customFormat="false" ht="15" hidden="false" customHeight="false" outlineLevel="0" collapsed="false">
      <c r="A32" s="10" t="n">
        <v>18</v>
      </c>
      <c r="B32" s="11" t="s">
        <v>61</v>
      </c>
      <c r="C32" s="10" t="s">
        <v>17</v>
      </c>
      <c r="D32" s="12" t="n">
        <v>1</v>
      </c>
      <c r="E32" s="13" t="n">
        <v>65000000</v>
      </c>
      <c r="F32" s="13" t="n">
        <f aca="false">D32*E32</f>
        <v>65000000</v>
      </c>
      <c r="G32" s="13" t="n">
        <f aca="false">F32/$H$2</f>
        <v>2500</v>
      </c>
      <c r="H32" s="11"/>
      <c r="I32" s="11"/>
      <c r="J32" s="13"/>
      <c r="K32" s="13" t="n">
        <f aca="false">F32</f>
        <v>65000000</v>
      </c>
      <c r="L32" s="8"/>
    </row>
    <row r="33" customFormat="false" ht="15" hidden="false" customHeight="false" outlineLevel="0" collapsed="false">
      <c r="A33" s="10" t="n">
        <v>19</v>
      </c>
      <c r="B33" s="11" t="s">
        <v>62</v>
      </c>
      <c r="C33" s="10" t="s">
        <v>17</v>
      </c>
      <c r="D33" s="12" t="n">
        <v>1</v>
      </c>
      <c r="E33" s="13" t="n">
        <v>42000000</v>
      </c>
      <c r="F33" s="13" t="n">
        <f aca="false">D33*E33</f>
        <v>42000000</v>
      </c>
      <c r="G33" s="13" t="n">
        <f aca="false">F33/$H$2</f>
        <v>1615.38461538462</v>
      </c>
      <c r="H33" s="11"/>
      <c r="I33" s="11"/>
      <c r="J33" s="13"/>
      <c r="K33" s="13" t="n">
        <f aca="false">F33</f>
        <v>42000000</v>
      </c>
      <c r="L33" s="8"/>
    </row>
    <row r="34" customFormat="false" ht="15" hidden="false" customHeight="false" outlineLevel="0" collapsed="false">
      <c r="A34" s="10" t="n">
        <v>20</v>
      </c>
      <c r="B34" s="11" t="s">
        <v>63</v>
      </c>
      <c r="C34" s="10" t="s">
        <v>17</v>
      </c>
      <c r="D34" s="12" t="n">
        <v>1</v>
      </c>
      <c r="E34" s="13" t="n">
        <v>32000000</v>
      </c>
      <c r="F34" s="13" t="n">
        <f aca="false">D34*E34</f>
        <v>32000000</v>
      </c>
      <c r="G34" s="13" t="n">
        <f aca="false">F34/$H$2</f>
        <v>1230.76923076923</v>
      </c>
      <c r="H34" s="11"/>
      <c r="I34" s="11"/>
      <c r="J34" s="13"/>
      <c r="K34" s="13" t="n">
        <f aca="false">F34</f>
        <v>32000000</v>
      </c>
      <c r="L34" s="8"/>
    </row>
    <row r="35" customFormat="false" ht="15" hidden="false" customHeight="false" outlineLevel="0" collapsed="false">
      <c r="A35" s="10" t="n">
        <v>21</v>
      </c>
      <c r="B35" s="11" t="s">
        <v>64</v>
      </c>
      <c r="C35" s="10" t="s">
        <v>21</v>
      </c>
      <c r="D35" s="12" t="n">
        <v>28.9</v>
      </c>
      <c r="E35" s="13" t="n">
        <v>650000</v>
      </c>
      <c r="F35" s="13" t="n">
        <f aca="false">D35*E35</f>
        <v>18785000</v>
      </c>
      <c r="G35" s="13" t="n">
        <f aca="false">F35/$H$2</f>
        <v>722.5</v>
      </c>
      <c r="H35" s="11"/>
      <c r="I35" s="11"/>
      <c r="J35" s="13"/>
      <c r="K35" s="13" t="n">
        <f aca="false">F35</f>
        <v>18785000</v>
      </c>
      <c r="L35" s="8"/>
    </row>
    <row r="36" customFormat="false" ht="15" hidden="false" customHeight="false" outlineLevel="0" collapsed="false">
      <c r="A36" s="10" t="n">
        <v>22</v>
      </c>
      <c r="B36" s="11" t="s">
        <v>65</v>
      </c>
      <c r="C36" s="10" t="s">
        <v>36</v>
      </c>
      <c r="D36" s="12" t="n">
        <v>3</v>
      </c>
      <c r="E36" s="13" t="n">
        <v>4500000</v>
      </c>
      <c r="F36" s="13" t="n">
        <f aca="false">D36*E36</f>
        <v>13500000</v>
      </c>
      <c r="G36" s="13" t="n">
        <f aca="false">F36/$H$2</f>
        <v>519.230769230769</v>
      </c>
      <c r="H36" s="11" t="s">
        <v>66</v>
      </c>
      <c r="I36" s="11"/>
      <c r="J36" s="13"/>
      <c r="K36" s="13" t="n">
        <f aca="false">F36</f>
        <v>13500000</v>
      </c>
      <c r="L36" s="8"/>
    </row>
    <row r="37" customFormat="false" ht="15" hidden="false" customHeight="false" outlineLevel="0" collapsed="false">
      <c r="A37" s="10" t="n">
        <v>23</v>
      </c>
      <c r="B37" s="11" t="s">
        <v>67</v>
      </c>
      <c r="C37" s="10" t="s">
        <v>36</v>
      </c>
      <c r="D37" s="12" t="n">
        <v>5</v>
      </c>
      <c r="E37" s="13" t="n">
        <v>5000000</v>
      </c>
      <c r="F37" s="13" t="n">
        <f aca="false">D37*E37</f>
        <v>25000000</v>
      </c>
      <c r="G37" s="13" t="n">
        <f aca="false">F37/$H$2</f>
        <v>961.538461538462</v>
      </c>
      <c r="H37" s="11" t="s">
        <v>68</v>
      </c>
      <c r="I37" s="11"/>
      <c r="J37" s="13"/>
      <c r="K37" s="13" t="n">
        <f aca="false">F37</f>
        <v>25000000</v>
      </c>
      <c r="L37" s="8"/>
    </row>
    <row r="38" customFormat="false" ht="15" hidden="false" customHeight="false" outlineLevel="0" collapsed="false">
      <c r="A38" s="10" t="n">
        <v>24</v>
      </c>
      <c r="B38" s="11" t="s">
        <v>69</v>
      </c>
      <c r="C38" s="10" t="s">
        <v>36</v>
      </c>
      <c r="D38" s="12" t="n">
        <v>24</v>
      </c>
      <c r="E38" s="13" t="n">
        <v>450000</v>
      </c>
      <c r="F38" s="13" t="n">
        <f aca="false">D38*E38</f>
        <v>10800000</v>
      </c>
      <c r="G38" s="13" t="n">
        <f aca="false">F38/$H$2</f>
        <v>415.384615384615</v>
      </c>
      <c r="H38" s="11" t="s">
        <v>70</v>
      </c>
      <c r="I38" s="11"/>
      <c r="J38" s="13"/>
      <c r="K38" s="13" t="n">
        <f aca="false">F38</f>
        <v>10800000</v>
      </c>
      <c r="L38" s="8"/>
    </row>
    <row r="39" customFormat="false" ht="15" hidden="false" customHeight="false" outlineLevel="0" collapsed="false">
      <c r="A39" s="10" t="n">
        <v>25</v>
      </c>
      <c r="B39" s="11" t="s">
        <v>71</v>
      </c>
      <c r="C39" s="10" t="s">
        <v>36</v>
      </c>
      <c r="D39" s="12" t="n">
        <v>6</v>
      </c>
      <c r="E39" s="13" t="n">
        <v>3200000</v>
      </c>
      <c r="F39" s="13" t="n">
        <f aca="false">D39*E39</f>
        <v>19200000</v>
      </c>
      <c r="G39" s="13" t="n">
        <f aca="false">F39/$H$2</f>
        <v>738.461538461539</v>
      </c>
      <c r="H39" s="11" t="s">
        <v>72</v>
      </c>
      <c r="I39" s="11"/>
      <c r="J39" s="13"/>
      <c r="K39" s="13" t="n">
        <f aca="false">F39</f>
        <v>19200000</v>
      </c>
      <c r="L39" s="8"/>
    </row>
    <row r="40" customFormat="false" ht="15" hidden="false" customHeight="false" outlineLevel="0" collapsed="false">
      <c r="A40" s="10" t="n">
        <v>26</v>
      </c>
      <c r="B40" s="11" t="s">
        <v>73</v>
      </c>
      <c r="C40" s="10" t="s">
        <v>36</v>
      </c>
      <c r="D40" s="12" t="n">
        <v>6</v>
      </c>
      <c r="E40" s="13" t="n">
        <v>1300000</v>
      </c>
      <c r="F40" s="13" t="n">
        <f aca="false">D40*E40</f>
        <v>7800000</v>
      </c>
      <c r="G40" s="13" t="n">
        <f aca="false">F40/$H$2</f>
        <v>300</v>
      </c>
      <c r="H40" s="11"/>
      <c r="I40" s="11"/>
      <c r="J40" s="13"/>
      <c r="K40" s="13" t="n">
        <f aca="false">F40</f>
        <v>7800000</v>
      </c>
      <c r="L40" s="8"/>
    </row>
    <row r="41" customFormat="false" ht="15" hidden="false" customHeight="false" outlineLevel="0" collapsed="false">
      <c r="A41" s="10" t="n">
        <v>27</v>
      </c>
      <c r="B41" s="11" t="s">
        <v>74</v>
      </c>
      <c r="C41" s="10" t="s">
        <v>17</v>
      </c>
      <c r="D41" s="12" t="n">
        <v>1</v>
      </c>
      <c r="E41" s="13" t="n">
        <v>6000000</v>
      </c>
      <c r="F41" s="13" t="n">
        <f aca="false">D41*E41</f>
        <v>6000000</v>
      </c>
      <c r="G41" s="13" t="n">
        <f aca="false">F41/$H$2</f>
        <v>230.769230769231</v>
      </c>
      <c r="H41" s="11"/>
      <c r="I41" s="11"/>
      <c r="J41" s="13"/>
      <c r="K41" s="13" t="n">
        <f aca="false">F41</f>
        <v>6000000</v>
      </c>
      <c r="L41" s="8"/>
    </row>
    <row r="42" customFormat="false" ht="15" hidden="false" customHeight="false" outlineLevel="0" collapsed="false">
      <c r="A42" s="14"/>
      <c r="B42" s="15" t="s">
        <v>75</v>
      </c>
      <c r="C42" s="14"/>
      <c r="D42" s="16"/>
      <c r="E42" s="17"/>
      <c r="F42" s="18" t="n">
        <f aca="false">SUM(F31:F41)</f>
        <v>316405000</v>
      </c>
      <c r="G42" s="18" t="n">
        <f aca="false">F42/$H$2</f>
        <v>12169.4230769231</v>
      </c>
      <c r="H42" s="19"/>
      <c r="I42" s="19"/>
      <c r="J42" s="17"/>
      <c r="K42" s="18" t="n">
        <f aca="false">SUM(K31:K41)</f>
        <v>303685000</v>
      </c>
      <c r="L42" s="8"/>
    </row>
    <row r="43" customFormat="false" ht="15" hidden="false" customHeight="false" outlineLevel="0" collapsed="false">
      <c r="B43" s="9"/>
      <c r="D43" s="7"/>
      <c r="E43" s="8"/>
      <c r="F43" s="8"/>
      <c r="G43" s="8"/>
      <c r="H43" s="9"/>
      <c r="I43" s="9"/>
      <c r="J43" s="8"/>
      <c r="K43" s="8"/>
      <c r="L43" s="8"/>
    </row>
    <row r="44" customFormat="false" ht="15" hidden="false" customHeight="false" outlineLevel="0" collapsed="false">
      <c r="B44" s="6" t="s">
        <v>76</v>
      </c>
      <c r="D44" s="7"/>
      <c r="E44" s="8"/>
      <c r="F44" s="8"/>
      <c r="G44" s="8"/>
      <c r="H44" s="9"/>
      <c r="I44" s="9"/>
      <c r="J44" s="8"/>
      <c r="K44" s="8"/>
      <c r="L44" s="8"/>
    </row>
    <row r="45" customFormat="false" ht="28.35" hidden="false" customHeight="false" outlineLevel="0" collapsed="false">
      <c r="A45" s="10" t="n">
        <v>28</v>
      </c>
      <c r="B45" s="11" t="s">
        <v>77</v>
      </c>
      <c r="C45" s="10" t="s">
        <v>17</v>
      </c>
      <c r="D45" s="12" t="n">
        <v>1</v>
      </c>
      <c r="E45" s="13" t="n">
        <v>185000000</v>
      </c>
      <c r="F45" s="13" t="n">
        <f aca="false">D45*E45</f>
        <v>185000000</v>
      </c>
      <c r="G45" s="13" t="n">
        <f aca="false">F45/$H$2</f>
        <v>7115.38461538462</v>
      </c>
      <c r="H45" s="11"/>
      <c r="I45" s="11" t="s">
        <v>78</v>
      </c>
      <c r="J45" s="13" t="n">
        <v>145000000</v>
      </c>
      <c r="K45" s="13" t="n">
        <f aca="false">D45*J45</f>
        <v>145000000</v>
      </c>
      <c r="L45" s="8"/>
    </row>
    <row r="46" customFormat="false" ht="41.75" hidden="false" customHeight="false" outlineLevel="0" collapsed="false">
      <c r="A46" s="10" t="n">
        <v>29</v>
      </c>
      <c r="B46" s="11" t="s">
        <v>79</v>
      </c>
      <c r="C46" s="10" t="s">
        <v>36</v>
      </c>
      <c r="D46" s="12" t="n">
        <v>9</v>
      </c>
      <c r="E46" s="13" t="n">
        <v>30000000</v>
      </c>
      <c r="F46" s="13" t="n">
        <f aca="false">D46*E46</f>
        <v>270000000</v>
      </c>
      <c r="G46" s="13" t="n">
        <f aca="false">F46/$H$2</f>
        <v>10384.6153846154</v>
      </c>
      <c r="H46" s="11" t="s">
        <v>80</v>
      </c>
      <c r="I46" s="11" t="s">
        <v>81</v>
      </c>
      <c r="J46" s="13" t="n">
        <v>22000000</v>
      </c>
      <c r="K46" s="13" t="n">
        <f aca="false">D46*J46</f>
        <v>198000000</v>
      </c>
      <c r="L46" s="8"/>
    </row>
    <row r="47" customFormat="false" ht="28.35" hidden="false" customHeight="false" outlineLevel="0" collapsed="false">
      <c r="A47" s="10" t="n">
        <v>30</v>
      </c>
      <c r="B47" s="11" t="s">
        <v>82</v>
      </c>
      <c r="C47" s="10" t="s">
        <v>36</v>
      </c>
      <c r="D47" s="12" t="n">
        <v>4</v>
      </c>
      <c r="E47" s="13" t="n">
        <v>21000000</v>
      </c>
      <c r="F47" s="13" t="n">
        <f aca="false">D47*E47</f>
        <v>84000000</v>
      </c>
      <c r="G47" s="13" t="n">
        <f aca="false">F47/$H$2</f>
        <v>3230.76923076923</v>
      </c>
      <c r="H47" s="11"/>
      <c r="I47" s="11" t="s">
        <v>83</v>
      </c>
      <c r="J47" s="13" t="n">
        <v>17000000</v>
      </c>
      <c r="K47" s="13" t="n">
        <f aca="false">D47*J47</f>
        <v>68000000</v>
      </c>
      <c r="L47" s="8"/>
    </row>
    <row r="48" customFormat="false" ht="15" hidden="false" customHeight="false" outlineLevel="0" collapsed="false">
      <c r="A48" s="10" t="n">
        <v>31</v>
      </c>
      <c r="B48" s="11" t="s">
        <v>84</v>
      </c>
      <c r="C48" s="10" t="s">
        <v>36</v>
      </c>
      <c r="D48" s="12" t="n">
        <v>1</v>
      </c>
      <c r="E48" s="13" t="n">
        <v>24000000</v>
      </c>
      <c r="F48" s="13" t="n">
        <f aca="false">D48*E48</f>
        <v>24000000</v>
      </c>
      <c r="G48" s="13" t="n">
        <f aca="false">F48/$H$2</f>
        <v>923.076923076923</v>
      </c>
      <c r="H48" s="11"/>
      <c r="I48" s="11"/>
      <c r="J48" s="13"/>
      <c r="K48" s="13" t="n">
        <f aca="false">F48</f>
        <v>24000000</v>
      </c>
      <c r="L48" s="8"/>
    </row>
    <row r="49" customFormat="false" ht="28.35" hidden="false" customHeight="false" outlineLevel="0" collapsed="false">
      <c r="A49" s="10" t="n">
        <v>32</v>
      </c>
      <c r="B49" s="11" t="s">
        <v>85</v>
      </c>
      <c r="C49" s="10" t="s">
        <v>36</v>
      </c>
      <c r="D49" s="12" t="n">
        <v>2</v>
      </c>
      <c r="E49" s="13" t="n">
        <v>62000000</v>
      </c>
      <c r="F49" s="13" t="n">
        <f aca="false">D49*E49</f>
        <v>124000000</v>
      </c>
      <c r="G49" s="13" t="n">
        <f aca="false">F49/$H$2</f>
        <v>4769.23076923077</v>
      </c>
      <c r="H49" s="11"/>
      <c r="I49" s="11" t="s">
        <v>86</v>
      </c>
      <c r="J49" s="13" t="n">
        <v>45000000</v>
      </c>
      <c r="K49" s="13" t="n">
        <f aca="false">D49*J49</f>
        <v>90000000</v>
      </c>
      <c r="L49" s="8"/>
    </row>
    <row r="50" customFormat="false" ht="28.35" hidden="false" customHeight="false" outlineLevel="0" collapsed="false">
      <c r="A50" s="10" t="n">
        <v>33</v>
      </c>
      <c r="B50" s="11" t="s">
        <v>87</v>
      </c>
      <c r="C50" s="10" t="s">
        <v>17</v>
      </c>
      <c r="D50" s="12" t="n">
        <v>1</v>
      </c>
      <c r="E50" s="13" t="n">
        <v>32000000</v>
      </c>
      <c r="F50" s="13" t="n">
        <f aca="false">D50*E50</f>
        <v>32000000</v>
      </c>
      <c r="G50" s="13" t="n">
        <f aca="false">F50/$H$2</f>
        <v>1230.76923076923</v>
      </c>
      <c r="H50" s="11"/>
      <c r="I50" s="11"/>
      <c r="J50" s="13"/>
      <c r="K50" s="13" t="n">
        <f aca="false">F50</f>
        <v>32000000</v>
      </c>
      <c r="L50" s="8"/>
    </row>
    <row r="51" customFormat="false" ht="15" hidden="false" customHeight="false" outlineLevel="0" collapsed="false">
      <c r="A51" s="10" t="n">
        <v>34</v>
      </c>
      <c r="B51" s="11" t="s">
        <v>88</v>
      </c>
      <c r="C51" s="10" t="s">
        <v>36</v>
      </c>
      <c r="D51" s="12" t="n">
        <v>1</v>
      </c>
      <c r="E51" s="13" t="n">
        <v>28000000</v>
      </c>
      <c r="F51" s="13" t="n">
        <f aca="false">D51*E51</f>
        <v>28000000</v>
      </c>
      <c r="G51" s="13" t="n">
        <f aca="false">F51/$H$2</f>
        <v>1076.92307692308</v>
      </c>
      <c r="H51" s="11"/>
      <c r="I51" s="11"/>
      <c r="J51" s="13"/>
      <c r="K51" s="13" t="n">
        <f aca="false">F51</f>
        <v>28000000</v>
      </c>
      <c r="L51" s="8"/>
    </row>
    <row r="52" customFormat="false" ht="28.35" hidden="false" customHeight="false" outlineLevel="0" collapsed="false">
      <c r="A52" s="10" t="n">
        <v>35</v>
      </c>
      <c r="B52" s="11" t="s">
        <v>89</v>
      </c>
      <c r="C52" s="10" t="s">
        <v>17</v>
      </c>
      <c r="D52" s="12" t="n">
        <v>1</v>
      </c>
      <c r="E52" s="13" t="n">
        <v>55000000</v>
      </c>
      <c r="F52" s="13" t="n">
        <f aca="false">D52*E52</f>
        <v>55000000</v>
      </c>
      <c r="G52" s="13" t="n">
        <f aca="false">F52/$H$2</f>
        <v>2115.38461538462</v>
      </c>
      <c r="H52" s="11"/>
      <c r="I52" s="11" t="s">
        <v>90</v>
      </c>
      <c r="J52" s="13" t="n">
        <v>35000000</v>
      </c>
      <c r="K52" s="13" t="n">
        <f aca="false">D52*J52</f>
        <v>35000000</v>
      </c>
      <c r="L52" s="8"/>
    </row>
    <row r="53" customFormat="false" ht="28.35" hidden="false" customHeight="false" outlineLevel="0" collapsed="false">
      <c r="A53" s="10" t="n">
        <v>36</v>
      </c>
      <c r="B53" s="11" t="s">
        <v>91</v>
      </c>
      <c r="C53" s="10" t="s">
        <v>17</v>
      </c>
      <c r="D53" s="12" t="n">
        <v>1</v>
      </c>
      <c r="E53" s="13" t="n">
        <v>61000000</v>
      </c>
      <c r="F53" s="13" t="n">
        <f aca="false">D53*E53</f>
        <v>61000000</v>
      </c>
      <c r="G53" s="13" t="n">
        <f aca="false">F53/$H$2</f>
        <v>2346.15384615385</v>
      </c>
      <c r="H53" s="11"/>
      <c r="I53" s="11"/>
      <c r="J53" s="13"/>
      <c r="K53" s="13" t="n">
        <f aca="false">F53</f>
        <v>61000000</v>
      </c>
      <c r="L53" s="8"/>
    </row>
    <row r="54" customFormat="false" ht="28.35" hidden="false" customHeight="false" outlineLevel="0" collapsed="false">
      <c r="A54" s="10" t="n">
        <v>37</v>
      </c>
      <c r="B54" s="11" t="s">
        <v>92</v>
      </c>
      <c r="C54" s="10" t="s">
        <v>17</v>
      </c>
      <c r="D54" s="12" t="n">
        <v>1</v>
      </c>
      <c r="E54" s="13" t="n">
        <v>46000000</v>
      </c>
      <c r="F54" s="13" t="n">
        <f aca="false">D54*E54</f>
        <v>46000000</v>
      </c>
      <c r="G54" s="13" t="n">
        <f aca="false">F54/$H$2</f>
        <v>1769.23076923077</v>
      </c>
      <c r="H54" s="11"/>
      <c r="I54" s="11"/>
      <c r="J54" s="13"/>
      <c r="K54" s="13" t="n">
        <f aca="false">F54</f>
        <v>46000000</v>
      </c>
      <c r="L54" s="8"/>
    </row>
    <row r="55" customFormat="false" ht="28.35" hidden="false" customHeight="false" outlineLevel="0" collapsed="false">
      <c r="A55" s="10" t="n">
        <v>38</v>
      </c>
      <c r="B55" s="11" t="s">
        <v>93</v>
      </c>
      <c r="C55" s="10" t="s">
        <v>17</v>
      </c>
      <c r="D55" s="12" t="n">
        <v>1</v>
      </c>
      <c r="E55" s="13" t="n">
        <v>58000000</v>
      </c>
      <c r="F55" s="13" t="n">
        <f aca="false">D55*E55</f>
        <v>58000000</v>
      </c>
      <c r="G55" s="13" t="n">
        <f aca="false">F55/$H$2</f>
        <v>2230.76923076923</v>
      </c>
      <c r="H55" s="11"/>
      <c r="I55" s="11" t="s">
        <v>94</v>
      </c>
      <c r="J55" s="13" t="n">
        <v>42000000</v>
      </c>
      <c r="K55" s="13" t="n">
        <f aca="false">D55*J55</f>
        <v>42000000</v>
      </c>
      <c r="L55" s="8"/>
    </row>
    <row r="56" customFormat="false" ht="15" hidden="false" customHeight="false" outlineLevel="0" collapsed="false">
      <c r="A56" s="10" t="n">
        <v>39</v>
      </c>
      <c r="B56" s="11" t="s">
        <v>95</v>
      </c>
      <c r="C56" s="10" t="s">
        <v>17</v>
      </c>
      <c r="D56" s="12" t="n">
        <v>1</v>
      </c>
      <c r="E56" s="13" t="n">
        <v>52000000</v>
      </c>
      <c r="F56" s="13" t="n">
        <f aca="false">D56*E56</f>
        <v>52000000</v>
      </c>
      <c r="G56" s="13" t="n">
        <f aca="false">F56/$H$2</f>
        <v>2000</v>
      </c>
      <c r="H56" s="11" t="s">
        <v>96</v>
      </c>
      <c r="I56" s="11"/>
      <c r="J56" s="13"/>
      <c r="K56" s="13" t="n">
        <f aca="false">F56</f>
        <v>52000000</v>
      </c>
      <c r="L56" s="8"/>
    </row>
    <row r="57" customFormat="false" ht="15" hidden="false" customHeight="false" outlineLevel="0" collapsed="false">
      <c r="A57" s="10" t="n">
        <v>40</v>
      </c>
      <c r="B57" s="11" t="s">
        <v>97</v>
      </c>
      <c r="C57" s="10" t="s">
        <v>17</v>
      </c>
      <c r="D57" s="12" t="n">
        <v>1</v>
      </c>
      <c r="E57" s="13" t="n">
        <v>38000000</v>
      </c>
      <c r="F57" s="13" t="n">
        <f aca="false">D57*E57</f>
        <v>38000000</v>
      </c>
      <c r="G57" s="13" t="n">
        <f aca="false">F57/$H$2</f>
        <v>1461.53846153846</v>
      </c>
      <c r="H57" s="11"/>
      <c r="I57" s="11"/>
      <c r="J57" s="13"/>
      <c r="K57" s="13" t="n">
        <f aca="false">F57</f>
        <v>38000000</v>
      </c>
      <c r="L57" s="8"/>
    </row>
    <row r="58" customFormat="false" ht="28.35" hidden="false" customHeight="false" outlineLevel="0" collapsed="false">
      <c r="A58" s="10" t="n">
        <v>41</v>
      </c>
      <c r="B58" s="11" t="s">
        <v>98</v>
      </c>
      <c r="C58" s="10" t="s">
        <v>17</v>
      </c>
      <c r="D58" s="12" t="n">
        <v>1</v>
      </c>
      <c r="E58" s="13" t="n">
        <v>62000000</v>
      </c>
      <c r="F58" s="13" t="n">
        <f aca="false">D58*E58</f>
        <v>62000000</v>
      </c>
      <c r="G58" s="13" t="n">
        <f aca="false">F58/$H$2</f>
        <v>2384.61538461538</v>
      </c>
      <c r="H58" s="11"/>
      <c r="I58" s="11"/>
      <c r="J58" s="13"/>
      <c r="K58" s="13" t="n">
        <f aca="false">F58</f>
        <v>62000000</v>
      </c>
      <c r="L58" s="8"/>
    </row>
    <row r="59" customFormat="false" ht="28.35" hidden="false" customHeight="false" outlineLevel="0" collapsed="false">
      <c r="A59" s="10" t="n">
        <v>42</v>
      </c>
      <c r="B59" s="11" t="s">
        <v>99</v>
      </c>
      <c r="C59" s="10" t="s">
        <v>17</v>
      </c>
      <c r="D59" s="12" t="n">
        <v>1</v>
      </c>
      <c r="E59" s="13" t="n">
        <v>6000000</v>
      </c>
      <c r="F59" s="13" t="n">
        <f aca="false">D59*E59</f>
        <v>6000000</v>
      </c>
      <c r="G59" s="13" t="n">
        <f aca="false">F59/$H$2</f>
        <v>230.769230769231</v>
      </c>
      <c r="H59" s="11"/>
      <c r="I59" s="11"/>
      <c r="J59" s="13"/>
      <c r="K59" s="13" t="n">
        <f aca="false">F59</f>
        <v>6000000</v>
      </c>
      <c r="L59" s="8"/>
    </row>
    <row r="60" customFormat="false" ht="15" hidden="false" customHeight="false" outlineLevel="0" collapsed="false">
      <c r="A60" s="14"/>
      <c r="B60" s="15" t="s">
        <v>100</v>
      </c>
      <c r="C60" s="14"/>
      <c r="D60" s="16"/>
      <c r="E60" s="17"/>
      <c r="F60" s="18" t="n">
        <f aca="false">SUM(F45:F59)</f>
        <v>1125000000</v>
      </c>
      <c r="G60" s="18" t="n">
        <f aca="false">F60/$H$2</f>
        <v>43269.2307692308</v>
      </c>
      <c r="H60" s="19"/>
      <c r="I60" s="19"/>
      <c r="J60" s="17"/>
      <c r="K60" s="18" t="n">
        <f aca="false">SUM(K45:K59)</f>
        <v>927000000</v>
      </c>
      <c r="L60" s="8"/>
    </row>
    <row r="61" customFormat="false" ht="15" hidden="false" customHeight="false" outlineLevel="0" collapsed="false">
      <c r="B61" s="9"/>
      <c r="D61" s="7"/>
      <c r="E61" s="8"/>
      <c r="F61" s="8"/>
      <c r="G61" s="8"/>
      <c r="H61" s="9"/>
      <c r="I61" s="9"/>
      <c r="J61" s="8"/>
      <c r="K61" s="8"/>
      <c r="L61" s="8"/>
    </row>
    <row r="62" customFormat="false" ht="15" hidden="false" customHeight="false" outlineLevel="0" collapsed="false">
      <c r="B62" s="6" t="s">
        <v>101</v>
      </c>
      <c r="D62" s="7"/>
      <c r="E62" s="8"/>
      <c r="F62" s="8"/>
      <c r="G62" s="8"/>
      <c r="H62" s="9"/>
      <c r="I62" s="9"/>
      <c r="J62" s="8"/>
      <c r="K62" s="8"/>
      <c r="L62" s="8"/>
    </row>
    <row r="63" customFormat="false" ht="15" hidden="false" customHeight="false" outlineLevel="0" collapsed="false">
      <c r="A63" s="10" t="n">
        <v>43</v>
      </c>
      <c r="B63" s="11" t="s">
        <v>102</v>
      </c>
      <c r="C63" s="10" t="s">
        <v>36</v>
      </c>
      <c r="D63" s="12" t="n">
        <v>28</v>
      </c>
      <c r="E63" s="13" t="n">
        <v>2900000</v>
      </c>
      <c r="F63" s="13" t="n">
        <f aca="false">D63*E63</f>
        <v>81200000</v>
      </c>
      <c r="G63" s="13" t="n">
        <f aca="false">F63/$H$2</f>
        <v>3123.07692307692</v>
      </c>
      <c r="H63" s="11" t="s">
        <v>103</v>
      </c>
      <c r="I63" s="11" t="s">
        <v>104</v>
      </c>
      <c r="J63" s="13" t="n">
        <v>2100000</v>
      </c>
      <c r="K63" s="13" t="n">
        <f aca="false">D63*J63</f>
        <v>58800000</v>
      </c>
      <c r="L63" s="8"/>
    </row>
    <row r="64" customFormat="false" ht="15" hidden="false" customHeight="false" outlineLevel="0" collapsed="false">
      <c r="A64" s="10" t="n">
        <v>44</v>
      </c>
      <c r="B64" s="11" t="s">
        <v>105</v>
      </c>
      <c r="C64" s="10" t="s">
        <v>36</v>
      </c>
      <c r="D64" s="12" t="n">
        <v>56</v>
      </c>
      <c r="E64" s="13" t="n">
        <v>1650000</v>
      </c>
      <c r="F64" s="13" t="n">
        <f aca="false">D64*E64</f>
        <v>92400000</v>
      </c>
      <c r="G64" s="13" t="n">
        <f aca="false">F64/$H$2</f>
        <v>3553.84615384615</v>
      </c>
      <c r="H64" s="11"/>
      <c r="I64" s="11" t="s">
        <v>106</v>
      </c>
      <c r="J64" s="13" t="n">
        <v>1150000</v>
      </c>
      <c r="K64" s="13" t="n">
        <f aca="false">D64*J64</f>
        <v>64400000</v>
      </c>
      <c r="L64" s="8"/>
    </row>
    <row r="65" customFormat="false" ht="15" hidden="false" customHeight="false" outlineLevel="0" collapsed="false">
      <c r="A65" s="10" t="n">
        <v>45</v>
      </c>
      <c r="B65" s="11" t="s">
        <v>107</v>
      </c>
      <c r="C65" s="10" t="s">
        <v>36</v>
      </c>
      <c r="D65" s="12" t="n">
        <v>9</v>
      </c>
      <c r="E65" s="13" t="n">
        <v>2600000</v>
      </c>
      <c r="F65" s="13" t="n">
        <f aca="false">D65*E65</f>
        <v>23400000</v>
      </c>
      <c r="G65" s="13" t="n">
        <f aca="false">F65/$H$2</f>
        <v>900</v>
      </c>
      <c r="H65" s="11"/>
      <c r="I65" s="11"/>
      <c r="J65" s="13"/>
      <c r="K65" s="13" t="n">
        <f aca="false">F65</f>
        <v>23400000</v>
      </c>
      <c r="L65" s="8"/>
    </row>
    <row r="66" customFormat="false" ht="15" hidden="false" customHeight="false" outlineLevel="0" collapsed="false">
      <c r="A66" s="14"/>
      <c r="B66" s="15" t="s">
        <v>108</v>
      </c>
      <c r="C66" s="14"/>
      <c r="D66" s="16"/>
      <c r="E66" s="17"/>
      <c r="F66" s="18" t="n">
        <f aca="false">SUM(F63:F65)</f>
        <v>197000000</v>
      </c>
      <c r="G66" s="18" t="n">
        <f aca="false">F66/$H$2</f>
        <v>7576.92307692308</v>
      </c>
      <c r="H66" s="19"/>
      <c r="I66" s="19"/>
      <c r="J66" s="17"/>
      <c r="K66" s="18" t="n">
        <f aca="false">SUM(K63:K65)</f>
        <v>146600000</v>
      </c>
      <c r="L66" s="8"/>
    </row>
    <row r="67" customFormat="false" ht="15" hidden="false" customHeight="false" outlineLevel="0" collapsed="false">
      <c r="B67" s="9"/>
      <c r="D67" s="7"/>
      <c r="E67" s="8"/>
      <c r="F67" s="8"/>
      <c r="G67" s="8"/>
      <c r="H67" s="9"/>
      <c r="I67" s="9"/>
      <c r="J67" s="8"/>
      <c r="K67" s="8"/>
      <c r="L67" s="8"/>
    </row>
    <row r="68" customFormat="false" ht="15" hidden="false" customHeight="false" outlineLevel="0" collapsed="false">
      <c r="B68" s="6" t="s">
        <v>109</v>
      </c>
      <c r="D68" s="7"/>
      <c r="E68" s="8"/>
      <c r="F68" s="8"/>
      <c r="G68" s="8"/>
      <c r="H68" s="9"/>
      <c r="I68" s="9"/>
      <c r="J68" s="8"/>
      <c r="K68" s="8"/>
      <c r="L68" s="8"/>
    </row>
    <row r="69" customFormat="false" ht="15" hidden="false" customHeight="false" outlineLevel="0" collapsed="false">
      <c r="A69" s="10" t="n">
        <v>46</v>
      </c>
      <c r="B69" s="11" t="s">
        <v>110</v>
      </c>
      <c r="C69" s="10" t="s">
        <v>21</v>
      </c>
      <c r="D69" s="12" t="n">
        <v>419.5</v>
      </c>
      <c r="E69" s="13" t="n">
        <v>280000</v>
      </c>
      <c r="F69" s="13" t="n">
        <f aca="false">D69*E69</f>
        <v>117460000</v>
      </c>
      <c r="G69" s="13" t="n">
        <f aca="false">F69/$H$2</f>
        <v>4517.69230769231</v>
      </c>
      <c r="H69" s="11"/>
      <c r="I69" s="11"/>
      <c r="J69" s="13"/>
      <c r="K69" s="13" t="n">
        <f aca="false">F69</f>
        <v>117460000</v>
      </c>
      <c r="L69" s="8"/>
    </row>
    <row r="70" customFormat="false" ht="15" hidden="false" customHeight="false" outlineLevel="0" collapsed="false">
      <c r="A70" s="10" t="n">
        <v>47</v>
      </c>
      <c r="B70" s="11" t="s">
        <v>111</v>
      </c>
      <c r="C70" s="10" t="s">
        <v>17</v>
      </c>
      <c r="D70" s="12" t="n">
        <v>1</v>
      </c>
      <c r="E70" s="13" t="n">
        <v>165000000</v>
      </c>
      <c r="F70" s="13" t="n">
        <f aca="false">D70*E70</f>
        <v>165000000</v>
      </c>
      <c r="G70" s="13" t="n">
        <f aca="false">F70/$H$2</f>
        <v>6346.15384615385</v>
      </c>
      <c r="H70" s="11" t="s">
        <v>112</v>
      </c>
      <c r="I70" s="11" t="s">
        <v>113</v>
      </c>
      <c r="J70" s="13" t="n">
        <v>120000000</v>
      </c>
      <c r="K70" s="13" t="n">
        <f aca="false">D70*J70</f>
        <v>120000000</v>
      </c>
      <c r="L70" s="8"/>
    </row>
    <row r="71" customFormat="false" ht="15" hidden="false" customHeight="false" outlineLevel="0" collapsed="false">
      <c r="A71" s="10" t="n">
        <v>48</v>
      </c>
      <c r="B71" s="11" t="s">
        <v>114</v>
      </c>
      <c r="C71" s="10" t="s">
        <v>36</v>
      </c>
      <c r="D71" s="12" t="n">
        <v>12</v>
      </c>
      <c r="E71" s="13" t="n">
        <v>4800000</v>
      </c>
      <c r="F71" s="13" t="n">
        <f aca="false">D71*E71</f>
        <v>57600000</v>
      </c>
      <c r="G71" s="13" t="n">
        <f aca="false">F71/$H$2</f>
        <v>2215.38461538462</v>
      </c>
      <c r="H71" s="11" t="s">
        <v>115</v>
      </c>
      <c r="I71" s="11"/>
      <c r="J71" s="13"/>
      <c r="K71" s="13" t="n">
        <f aca="false">F71</f>
        <v>57600000</v>
      </c>
      <c r="L71" s="8"/>
    </row>
    <row r="72" customFormat="false" ht="15" hidden="false" customHeight="false" outlineLevel="0" collapsed="false">
      <c r="A72" s="10" t="n">
        <v>49</v>
      </c>
      <c r="B72" s="11" t="s">
        <v>116</v>
      </c>
      <c r="C72" s="10" t="s">
        <v>17</v>
      </c>
      <c r="D72" s="12" t="n">
        <v>1</v>
      </c>
      <c r="E72" s="13" t="n">
        <v>38000000</v>
      </c>
      <c r="F72" s="13" t="n">
        <f aca="false">D72*E72</f>
        <v>38000000</v>
      </c>
      <c r="G72" s="13" t="n">
        <f aca="false">F72/$H$2</f>
        <v>1461.53846153846</v>
      </c>
      <c r="H72" s="11"/>
      <c r="I72" s="11"/>
      <c r="J72" s="13"/>
      <c r="K72" s="13" t="n">
        <f aca="false">F72</f>
        <v>38000000</v>
      </c>
      <c r="L72" s="8"/>
    </row>
    <row r="73" customFormat="false" ht="15" hidden="false" customHeight="false" outlineLevel="0" collapsed="false">
      <c r="A73" s="10" t="n">
        <v>50</v>
      </c>
      <c r="B73" s="11" t="s">
        <v>117</v>
      </c>
      <c r="C73" s="10" t="s">
        <v>17</v>
      </c>
      <c r="D73" s="12" t="n">
        <v>1</v>
      </c>
      <c r="E73" s="13" t="n">
        <v>55000000</v>
      </c>
      <c r="F73" s="13" t="n">
        <f aca="false">D73*E73</f>
        <v>55000000</v>
      </c>
      <c r="G73" s="13" t="n">
        <f aca="false">F73/$H$2</f>
        <v>2115.38461538462</v>
      </c>
      <c r="H73" s="11"/>
      <c r="I73" s="11"/>
      <c r="J73" s="13"/>
      <c r="K73" s="13" t="n">
        <f aca="false">F73</f>
        <v>55000000</v>
      </c>
      <c r="L73" s="8"/>
    </row>
    <row r="74" customFormat="false" ht="15" hidden="false" customHeight="false" outlineLevel="0" collapsed="false">
      <c r="A74" s="14"/>
      <c r="B74" s="15" t="s">
        <v>118</v>
      </c>
      <c r="C74" s="14"/>
      <c r="D74" s="16"/>
      <c r="E74" s="17"/>
      <c r="F74" s="18" t="n">
        <f aca="false">SUM(F69:F73)</f>
        <v>433060000</v>
      </c>
      <c r="G74" s="18" t="n">
        <f aca="false">F74/$H$2</f>
        <v>16656.1538461538</v>
      </c>
      <c r="H74" s="19"/>
      <c r="I74" s="19"/>
      <c r="J74" s="17"/>
      <c r="K74" s="18" t="n">
        <f aca="false">SUM(K69:K73)</f>
        <v>388060000</v>
      </c>
      <c r="L74" s="8"/>
    </row>
    <row r="75" customFormat="false" ht="15" hidden="false" customHeight="false" outlineLevel="0" collapsed="false">
      <c r="B75" s="9"/>
      <c r="D75" s="7"/>
      <c r="E75" s="8"/>
      <c r="F75" s="8"/>
      <c r="G75" s="8"/>
      <c r="H75" s="9"/>
      <c r="I75" s="9"/>
      <c r="J75" s="8"/>
      <c r="K75" s="8"/>
      <c r="L75" s="8"/>
    </row>
    <row r="76" customFormat="false" ht="15" hidden="false" customHeight="false" outlineLevel="0" collapsed="false">
      <c r="B76" s="6" t="s">
        <v>119</v>
      </c>
      <c r="D76" s="7"/>
      <c r="E76" s="8"/>
      <c r="F76" s="8"/>
      <c r="G76" s="8"/>
      <c r="H76" s="9"/>
      <c r="I76" s="9"/>
      <c r="J76" s="8"/>
      <c r="K76" s="8"/>
      <c r="L76" s="8"/>
    </row>
    <row r="77" customFormat="false" ht="15" hidden="false" customHeight="false" outlineLevel="0" collapsed="false">
      <c r="B77" s="9" t="s">
        <v>120</v>
      </c>
      <c r="C77" s="4" t="s">
        <v>17</v>
      </c>
      <c r="D77" s="7" t="n">
        <v>1</v>
      </c>
      <c r="E77" s="8" t="n">
        <f aca="false">Мангальная!E19</f>
        <v>348500000</v>
      </c>
      <c r="F77" s="8" t="n">
        <f aca="false">D77*E77</f>
        <v>348500000</v>
      </c>
      <c r="G77" s="8" t="n">
        <f aca="false">F77/$H$2</f>
        <v>13403.8461538462</v>
      </c>
      <c r="H77" s="9"/>
      <c r="I77" s="9"/>
      <c r="J77" s="8"/>
      <c r="K77" s="8" t="n">
        <f aca="false">F77</f>
        <v>348500000</v>
      </c>
      <c r="L77" s="8"/>
    </row>
    <row r="78" customFormat="false" ht="15" hidden="false" customHeight="false" outlineLevel="0" collapsed="false">
      <c r="A78" s="14"/>
      <c r="B78" s="15" t="s">
        <v>121</v>
      </c>
      <c r="C78" s="14"/>
      <c r="D78" s="16"/>
      <c r="E78" s="17"/>
      <c r="F78" s="18" t="n">
        <f aca="false">SUM(F77:F77)</f>
        <v>348500000</v>
      </c>
      <c r="G78" s="18" t="n">
        <f aca="false">F78/$H$2</f>
        <v>13403.8461538462</v>
      </c>
      <c r="H78" s="19"/>
      <c r="I78" s="19"/>
      <c r="J78" s="17"/>
      <c r="K78" s="18" t="n">
        <f aca="false">SUM(K77:K77)</f>
        <v>348500000</v>
      </c>
      <c r="L78" s="8"/>
    </row>
    <row r="79" customFormat="false" ht="15" hidden="false" customHeight="false" outlineLevel="0" collapsed="false">
      <c r="B79" s="9"/>
      <c r="D79" s="7"/>
      <c r="E79" s="8"/>
      <c r="F79" s="8"/>
      <c r="G79" s="8"/>
      <c r="H79" s="9"/>
      <c r="I79" s="9"/>
      <c r="J79" s="8"/>
      <c r="K79" s="8"/>
      <c r="L79" s="8"/>
    </row>
    <row r="80" customFormat="false" ht="15" hidden="false" customHeight="false" outlineLevel="0" collapsed="false">
      <c r="B80" s="20" t="s">
        <v>122</v>
      </c>
      <c r="D80" s="7"/>
      <c r="E80" s="8"/>
      <c r="F80" s="8" t="n">
        <f aca="false">F9+F19+F28+F42+F60+F66+F74+F78</f>
        <v>3678432000</v>
      </c>
      <c r="G80" s="8" t="n">
        <f aca="false">F80/$H$2</f>
        <v>141478.153846154</v>
      </c>
      <c r="H80" s="9"/>
      <c r="I80" s="9"/>
      <c r="J80" s="8"/>
      <c r="K80" s="8" t="n">
        <f aca="false">K9+K19+K28+K42+K60+K66+K74+K78</f>
        <v>3154818000</v>
      </c>
      <c r="L80" s="8"/>
    </row>
    <row r="81" customFormat="false" ht="15" hidden="false" customHeight="false" outlineLevel="0" collapsed="false">
      <c r="B81" s="9" t="s">
        <v>123</v>
      </c>
      <c r="D81" s="7"/>
      <c r="E81" s="8"/>
      <c r="F81" s="8" t="n">
        <f aca="false">F80*0.1</f>
        <v>367843200</v>
      </c>
      <c r="G81" s="8" t="n">
        <f aca="false">F81/$H$2</f>
        <v>14147.8153846154</v>
      </c>
      <c r="H81" s="9"/>
      <c r="I81" s="9"/>
      <c r="J81" s="8"/>
      <c r="K81" s="8" t="n">
        <f aca="false">K80*0.1</f>
        <v>315481800</v>
      </c>
      <c r="L81" s="8"/>
    </row>
    <row r="82" customFormat="false" ht="15" hidden="false" customHeight="false" outlineLevel="0" collapsed="false">
      <c r="B82" s="9" t="s">
        <v>124</v>
      </c>
      <c r="D82" s="7"/>
      <c r="E82" s="8"/>
      <c r="F82" s="8" t="n">
        <v>45000000</v>
      </c>
      <c r="G82" s="8" t="n">
        <f aca="false">F82/$H$2</f>
        <v>1730.76923076923</v>
      </c>
      <c r="H82" s="9"/>
      <c r="I82" s="9"/>
      <c r="J82" s="8"/>
      <c r="K82" s="8" t="n">
        <f aca="false">F82</f>
        <v>45000000</v>
      </c>
      <c r="L82" s="8"/>
    </row>
    <row r="83" customFormat="false" ht="15" hidden="false" customHeight="false" outlineLevel="0" collapsed="false">
      <c r="A83" s="21"/>
      <c r="B83" s="22" t="s">
        <v>125</v>
      </c>
      <c r="C83" s="21"/>
      <c r="D83" s="23"/>
      <c r="E83" s="24"/>
      <c r="F83" s="24" t="n">
        <f aca="false">SUM(F80:F82)</f>
        <v>4091275200</v>
      </c>
      <c r="G83" s="24" t="n">
        <f aca="false">F83/$H$2</f>
        <v>157356.738461538</v>
      </c>
      <c r="H83" s="22"/>
      <c r="I83" s="22"/>
      <c r="J83" s="24"/>
      <c r="K83" s="24" t="n">
        <f aca="false">SUM(K80:K82)</f>
        <v>3515299800</v>
      </c>
      <c r="L83" s="24" t="n">
        <f aca="false">K83/$H$2</f>
        <v>135203.838461538</v>
      </c>
    </row>
    <row r="84" customFormat="false" ht="15" hidden="false" customHeight="false" outlineLevel="0" collapsed="false">
      <c r="B84" s="9"/>
      <c r="D84" s="7"/>
      <c r="E84" s="8"/>
      <c r="F84" s="8"/>
      <c r="G84" s="8"/>
      <c r="H84" s="9"/>
      <c r="I84" s="9"/>
      <c r="J84" s="8"/>
      <c r="K84" s="8"/>
      <c r="L84" s="8"/>
    </row>
    <row r="85" customFormat="false" ht="15" hidden="false" customHeight="false" outlineLevel="0" collapsed="false">
      <c r="B85" s="9" t="s">
        <v>126</v>
      </c>
      <c r="D85" s="7"/>
      <c r="E85" s="8"/>
      <c r="F85" s="25" t="n">
        <f aca="false">F83-K83</f>
        <v>575975400</v>
      </c>
      <c r="G85" s="8"/>
      <c r="H85" s="9"/>
      <c r="I85" s="9"/>
      <c r="J85" s="8"/>
      <c r="K85" s="8"/>
      <c r="L85" s="8"/>
    </row>
    <row r="86" customFormat="false" ht="15" hidden="false" customHeight="false" outlineLevel="0" collapsed="false">
      <c r="B86" s="9" t="s">
        <v>127</v>
      </c>
      <c r="D86" s="7"/>
      <c r="E86" s="8"/>
      <c r="F86" s="8" t="n">
        <f aca="false">F83/446.5</f>
        <v>9162990.36954087</v>
      </c>
      <c r="G86" s="8"/>
      <c r="H86" s="9"/>
      <c r="I86" s="9"/>
      <c r="J86" s="8"/>
      <c r="K86" s="8"/>
      <c r="L86" s="8"/>
    </row>
    <row r="87" customFormat="false" ht="15" hidden="false" customHeight="false" outlineLevel="0" collapsed="false">
      <c r="B87" s="9" t="s">
        <v>128</v>
      </c>
      <c r="D87" s="7"/>
      <c r="E87" s="8"/>
      <c r="F87" s="8" t="n">
        <f aca="false">F83/175</f>
        <v>23378715.4285714</v>
      </c>
      <c r="G87" s="8"/>
      <c r="H87" s="9"/>
      <c r="I87" s="9"/>
      <c r="J87" s="8"/>
      <c r="K87" s="8"/>
      <c r="L87" s="8"/>
    </row>
    <row r="89" customFormat="false" ht="15" hidden="false" customHeight="false" outlineLevel="0" collapsed="false">
      <c r="B89" s="2" t="s">
        <v>129</v>
      </c>
    </row>
    <row r="90" customFormat="false" ht="15" hidden="false" customHeight="false" outlineLevel="0" collapsed="false">
      <c r="B90" s="2" t="s">
        <v>130</v>
      </c>
    </row>
    <row r="91" customFormat="false" ht="15" hidden="false" customHeight="false" outlineLevel="0" collapsed="false">
      <c r="B91" s="2" t="s">
        <v>131</v>
      </c>
    </row>
    <row r="92" customFormat="false" ht="15" hidden="false" customHeight="false" outlineLevel="0" collapsed="false">
      <c r="B92" s="2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7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30"/>
  </cols>
  <sheetData>
    <row r="1" customFormat="false" ht="16.15" hidden="false" customHeight="false" outlineLevel="0" collapsed="false">
      <c r="A1" s="26" t="s">
        <v>133</v>
      </c>
    </row>
    <row r="3" customFormat="false" ht="15" hidden="false" customHeight="false" outlineLevel="0" collapsed="false">
      <c r="A3" s="27" t="s">
        <v>134</v>
      </c>
      <c r="B3" s="27" t="s">
        <v>5</v>
      </c>
      <c r="C3" s="27" t="s">
        <v>6</v>
      </c>
      <c r="D3" s="27" t="s">
        <v>7</v>
      </c>
      <c r="E3" s="27" t="s">
        <v>8</v>
      </c>
      <c r="F3" s="27" t="s">
        <v>10</v>
      </c>
    </row>
    <row r="4" customFormat="false" ht="15" hidden="false" customHeight="false" outlineLevel="0" collapsed="false">
      <c r="A4" s="0" t="s">
        <v>135</v>
      </c>
      <c r="B4" s="0" t="s">
        <v>36</v>
      </c>
      <c r="C4" s="0" t="n">
        <v>1</v>
      </c>
      <c r="D4" s="8" t="n">
        <v>28000000</v>
      </c>
      <c r="E4" s="8" t="n">
        <f aca="false">C4*D4</f>
        <v>28000000</v>
      </c>
      <c r="F4" s="4" t="s">
        <v>136</v>
      </c>
    </row>
    <row r="5" customFormat="false" ht="15" hidden="false" customHeight="false" outlineLevel="0" collapsed="false">
      <c r="A5" s="0" t="s">
        <v>137</v>
      </c>
      <c r="B5" s="0" t="s">
        <v>36</v>
      </c>
      <c r="C5" s="0" t="n">
        <v>1</v>
      </c>
      <c r="D5" s="8" t="n">
        <v>19000000</v>
      </c>
      <c r="E5" s="8" t="n">
        <f aca="false">C5*D5</f>
        <v>19000000</v>
      </c>
    </row>
    <row r="6" customFormat="false" ht="15" hidden="false" customHeight="false" outlineLevel="0" collapsed="false">
      <c r="A6" s="0" t="s">
        <v>138</v>
      </c>
      <c r="B6" s="0" t="s">
        <v>17</v>
      </c>
      <c r="C6" s="0" t="n">
        <v>1</v>
      </c>
      <c r="D6" s="8" t="n">
        <v>14000000</v>
      </c>
      <c r="E6" s="8" t="n">
        <f aca="false">C6*D6</f>
        <v>14000000</v>
      </c>
    </row>
    <row r="7" customFormat="false" ht="15" hidden="false" customHeight="false" outlineLevel="0" collapsed="false">
      <c r="A7" s="0" t="s">
        <v>139</v>
      </c>
      <c r="B7" s="0" t="s">
        <v>17</v>
      </c>
      <c r="C7" s="0" t="n">
        <v>1</v>
      </c>
      <c r="D7" s="8" t="n">
        <v>88000000</v>
      </c>
      <c r="E7" s="8" t="n">
        <f aca="false">C7*D7</f>
        <v>88000000</v>
      </c>
      <c r="F7" s="4" t="s">
        <v>140</v>
      </c>
    </row>
    <row r="8" customFormat="false" ht="15" hidden="false" customHeight="false" outlineLevel="0" collapsed="false">
      <c r="A8" s="0" t="s">
        <v>141</v>
      </c>
      <c r="B8" s="0" t="s">
        <v>36</v>
      </c>
      <c r="C8" s="0" t="n">
        <v>1</v>
      </c>
      <c r="D8" s="8" t="n">
        <v>29000000</v>
      </c>
      <c r="E8" s="8" t="n">
        <f aca="false">C8*D8</f>
        <v>29000000</v>
      </c>
    </row>
    <row r="9" customFormat="false" ht="15" hidden="false" customHeight="false" outlineLevel="0" collapsed="false">
      <c r="A9" s="0" t="s">
        <v>142</v>
      </c>
      <c r="B9" s="0" t="s">
        <v>17</v>
      </c>
      <c r="C9" s="0" t="n">
        <v>1</v>
      </c>
      <c r="D9" s="8" t="n">
        <v>13000000</v>
      </c>
      <c r="E9" s="8" t="n">
        <f aca="false">C9*D9</f>
        <v>13000000</v>
      </c>
    </row>
    <row r="10" customFormat="false" ht="15" hidden="false" customHeight="false" outlineLevel="0" collapsed="false">
      <c r="A10" s="0" t="s">
        <v>143</v>
      </c>
      <c r="B10" s="0" t="s">
        <v>17</v>
      </c>
      <c r="C10" s="0" t="n">
        <v>1</v>
      </c>
      <c r="D10" s="8" t="n">
        <v>35000000</v>
      </c>
      <c r="E10" s="8" t="n">
        <f aca="false">C10*D10</f>
        <v>35000000</v>
      </c>
    </row>
    <row r="11" customFormat="false" ht="15" hidden="false" customHeight="false" outlineLevel="0" collapsed="false">
      <c r="A11" s="0" t="s">
        <v>144</v>
      </c>
      <c r="B11" s="0" t="s">
        <v>17</v>
      </c>
      <c r="C11" s="0" t="n">
        <v>1</v>
      </c>
      <c r="D11" s="8" t="n">
        <v>14000000</v>
      </c>
      <c r="E11" s="8" t="n">
        <f aca="false">C11*D11</f>
        <v>14000000</v>
      </c>
      <c r="F11" s="4" t="s">
        <v>145</v>
      </c>
    </row>
    <row r="12" customFormat="false" ht="15" hidden="false" customHeight="false" outlineLevel="0" collapsed="false">
      <c r="A12" s="0" t="s">
        <v>146</v>
      </c>
      <c r="B12" s="0" t="s">
        <v>17</v>
      </c>
      <c r="C12" s="0" t="n">
        <v>1</v>
      </c>
      <c r="D12" s="8" t="n">
        <v>14000000</v>
      </c>
      <c r="E12" s="8" t="n">
        <f aca="false">C12*D12</f>
        <v>14000000</v>
      </c>
    </row>
    <row r="13" customFormat="false" ht="15" hidden="false" customHeight="false" outlineLevel="0" collapsed="false">
      <c r="A13" s="0" t="s">
        <v>147</v>
      </c>
      <c r="B13" s="0" t="s">
        <v>17</v>
      </c>
      <c r="C13" s="0" t="n">
        <v>1</v>
      </c>
      <c r="D13" s="8" t="n">
        <v>38000000</v>
      </c>
      <c r="E13" s="8" t="n">
        <f aca="false">C13*D13</f>
        <v>38000000</v>
      </c>
    </row>
    <row r="14" customFormat="false" ht="15" hidden="false" customHeight="false" outlineLevel="0" collapsed="false">
      <c r="A14" s="0" t="s">
        <v>148</v>
      </c>
      <c r="B14" s="0" t="s">
        <v>17</v>
      </c>
      <c r="C14" s="0" t="n">
        <v>1</v>
      </c>
      <c r="D14" s="8" t="n">
        <v>16000000</v>
      </c>
      <c r="E14" s="8" t="n">
        <f aca="false">C14*D14</f>
        <v>16000000</v>
      </c>
    </row>
    <row r="15" customFormat="false" ht="15" hidden="false" customHeight="false" outlineLevel="0" collapsed="false">
      <c r="A15" s="0" t="s">
        <v>149</v>
      </c>
      <c r="B15" s="0" t="s">
        <v>17</v>
      </c>
      <c r="C15" s="0" t="n">
        <v>1</v>
      </c>
      <c r="D15" s="8" t="n">
        <v>12000000</v>
      </c>
      <c r="E15" s="8" t="n">
        <f aca="false">C15*D15</f>
        <v>12000000</v>
      </c>
    </row>
    <row r="16" customFormat="false" ht="15" hidden="false" customHeight="false" outlineLevel="0" collapsed="false">
      <c r="A16" s="0" t="s">
        <v>150</v>
      </c>
      <c r="B16" s="0" t="s">
        <v>17</v>
      </c>
      <c r="C16" s="0" t="n">
        <v>1</v>
      </c>
      <c r="D16" s="8" t="n">
        <v>9000000</v>
      </c>
      <c r="E16" s="8" t="n">
        <f aca="false">C16*D16</f>
        <v>9000000</v>
      </c>
    </row>
    <row r="17" customFormat="false" ht="15" hidden="false" customHeight="false" outlineLevel="0" collapsed="false">
      <c r="A17" s="0" t="s">
        <v>151</v>
      </c>
      <c r="B17" s="0" t="s">
        <v>17</v>
      </c>
      <c r="C17" s="0" t="n">
        <v>1</v>
      </c>
      <c r="D17" s="8" t="n">
        <v>4500000</v>
      </c>
      <c r="E17" s="8" t="n">
        <f aca="false">C17*D17</f>
        <v>4500000</v>
      </c>
    </row>
    <row r="18" customFormat="false" ht="15" hidden="false" customHeight="false" outlineLevel="0" collapsed="false">
      <c r="A18" s="0" t="s">
        <v>152</v>
      </c>
      <c r="B18" s="0" t="s">
        <v>17</v>
      </c>
      <c r="C18" s="0" t="n">
        <v>1</v>
      </c>
      <c r="D18" s="8" t="n">
        <v>15000000</v>
      </c>
      <c r="E18" s="8" t="n">
        <f aca="false">C18*D18</f>
        <v>15000000</v>
      </c>
    </row>
    <row r="19" customFormat="false" ht="15" hidden="false" customHeight="false" outlineLevel="0" collapsed="false">
      <c r="A19" s="28" t="s">
        <v>153</v>
      </c>
      <c r="E19" s="29" t="n">
        <f aca="false">SUM(E4:E18)</f>
        <v>348500000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</cols>
  <sheetData>
    <row r="1" customFormat="false" ht="15" hidden="false" customHeight="false" outlineLevel="0" collapsed="false">
      <c r="A1" s="0" t="s">
        <v>154</v>
      </c>
      <c r="B1" s="0" t="n">
        <v>446.5</v>
      </c>
      <c r="C1" s="0" t="s">
        <v>21</v>
      </c>
    </row>
    <row r="2" customFormat="false" ht="15" hidden="false" customHeight="false" outlineLevel="0" collapsed="false">
      <c r="A2" s="0" t="s">
        <v>155</v>
      </c>
      <c r="B2" s="0" t="n">
        <v>419.5</v>
      </c>
      <c r="C2" s="0" t="s">
        <v>21</v>
      </c>
    </row>
    <row r="3" customFormat="false" ht="15" hidden="false" customHeight="false" outlineLevel="0" collapsed="false">
      <c r="A3" s="0" t="s">
        <v>156</v>
      </c>
      <c r="B3" s="0" t="n">
        <v>27</v>
      </c>
      <c r="C3" s="0" t="s">
        <v>21</v>
      </c>
    </row>
    <row r="4" customFormat="false" ht="15" hidden="false" customHeight="false" outlineLevel="0" collapsed="false">
      <c r="A4" s="0" t="s">
        <v>157</v>
      </c>
      <c r="B4" s="0" t="n">
        <v>9.8</v>
      </c>
      <c r="C4" s="0" t="s">
        <v>26</v>
      </c>
    </row>
    <row r="5" customFormat="false" ht="15" hidden="false" customHeight="false" outlineLevel="0" collapsed="false">
      <c r="A5" s="0" t="s">
        <v>158</v>
      </c>
      <c r="B5" s="0" t="n">
        <v>299.1</v>
      </c>
      <c r="C5" s="0" t="s">
        <v>21</v>
      </c>
    </row>
    <row r="6" customFormat="false" ht="15" hidden="false" customHeight="false" outlineLevel="0" collapsed="false">
      <c r="A6" s="0" t="s">
        <v>159</v>
      </c>
      <c r="B6" s="0" t="n">
        <v>49.3</v>
      </c>
      <c r="C6" s="0" t="s">
        <v>21</v>
      </c>
    </row>
    <row r="7" customFormat="false" ht="15" hidden="false" customHeight="false" outlineLevel="0" collapsed="false">
      <c r="A7" s="0" t="s">
        <v>160</v>
      </c>
      <c r="B7" s="0" t="n">
        <v>15.8</v>
      </c>
      <c r="C7" s="0" t="s">
        <v>21</v>
      </c>
    </row>
    <row r="8" customFormat="false" ht="15" hidden="false" customHeight="false" outlineLevel="0" collapsed="false">
      <c r="A8" s="0" t="s">
        <v>161</v>
      </c>
      <c r="B8" s="0" t="n">
        <v>19.1</v>
      </c>
      <c r="C8" s="0" t="s">
        <v>21</v>
      </c>
    </row>
    <row r="9" customFormat="false" ht="15" hidden="false" customHeight="false" outlineLevel="0" collapsed="false">
      <c r="A9" s="0" t="s">
        <v>162</v>
      </c>
      <c r="B9" s="0" t="n">
        <v>28</v>
      </c>
      <c r="C9" s="0" t="s">
        <v>36</v>
      </c>
    </row>
    <row r="10" customFormat="false" ht="15" hidden="false" customHeight="false" outlineLevel="0" collapsed="false">
      <c r="A10" s="0" t="s">
        <v>163</v>
      </c>
      <c r="B10" s="0" t="n">
        <v>56</v>
      </c>
      <c r="C10" s="0" t="s">
        <v>36</v>
      </c>
    </row>
    <row r="11" customFormat="false" ht="15" hidden="false" customHeight="false" outlineLevel="0" collapsed="false">
      <c r="A11" s="0" t="s">
        <v>164</v>
      </c>
      <c r="B11" s="0" t="n">
        <v>175</v>
      </c>
    </row>
    <row r="12" customFormat="false" ht="15" hidden="false" customHeight="false" outlineLevel="0" collapsed="false">
      <c r="A12" s="0" t="s">
        <v>165</v>
      </c>
      <c r="B12" s="0" t="n">
        <v>21.2</v>
      </c>
      <c r="C12" s="0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2026-10-26T09:58:56Z</dcterms:created>
  <dc:creator>openpyxl</dc:creator>
  <dc:description/>
  <dc:language>en-US</dc:language>
  <cp:lastModifiedBy/>
  <dcterms:modified xsi:type="dcterms:W3CDTF">2026-10-26T09:58:56Z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